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ff21512b3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f3caaed4b0645b1"/>
    <x:sheet xmlns:r="http://schemas.openxmlformats.org/officeDocument/2006/relationships" name="任务清单" sheetId="2" r:id="R6642a14e641a4948"/>
    <x:sheet xmlns:r="http://schemas.openxmlformats.org/officeDocument/2006/relationships" name="每日汇报" sheetId="3" r:id="R74b56c6c994b4978"/>
    <x:sheet xmlns:r="http://schemas.openxmlformats.org/officeDocument/2006/relationships" name="里程碑" sheetId="4" r:id="R5da5c8e206564373"/>
    <x:sheet xmlns:r="http://schemas.openxmlformats.org/officeDocument/2006/relationships" name="问题清单" sheetId="5" r:id="R4655802ecec64011"/>
    <x:sheet xmlns:r="http://schemas.openxmlformats.org/officeDocument/2006/relationships" name="使用说明" sheetId="6" r:id="R2fa6dd1a51954ff5"/>
    <x:sheet xmlns:r="http://schemas.openxmlformats.org/officeDocument/2006/relationships" name="提醒计划" sheetId="7" r:id="R88ea9db22fae4776"/>
    <x:sheet xmlns:r="http://schemas.openxmlformats.org/officeDocument/2006/relationships" name="同步方案" sheetId="8" r:id="Rd7f46eb60759493f"/>
    <x:sheet xmlns:r="http://schemas.openxmlformats.org/officeDocument/2006/relationships" name="06-24重排" sheetId="9" r:id="Rdfd4e81d9405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0.00"/>
    <x:numFmt numFmtId="202" formatCode="0%"/>
    <x:numFmt numFmtId="203" formatCode="yyyy-mm-dd hh:mm"/>
    <x:numFmt numFmtId="204" formatCode="m/d h:mm"/>
    <x:numFmt numFmtId="205" formatCode="0"/>
    <x:numFmt numFmtId="206" formatCode="0.0%"/>
    <x:numFmt numFmtId="207" formatCode="m/d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7"/>
      <x:color rgb="FFFFFFFF"/>
      <x:name val="Carlito"/>
    </x:font>
    <x:font>
      <x:b/>
      <x:sz val="16"/>
      <x:color rgb="FFFFFFFF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83B5B"/>
      </x:patternFill>
    </x:fill>
    <x:fill>
      <x:patternFill patternType="solid">
        <x:fgColor rgb="FF0F766E"/>
      </x:patternFill>
    </x:fill>
    <x:fill>
      <x:patternFill patternType="solid">
        <x:fgColor rgb="FFDCEAF7"/>
      </x:patternFill>
    </x:fill>
    <x:fill>
      <x:patternFill patternType="solid">
        <x:fgColor rgb="FFF3F4F6"/>
      </x:patternFill>
    </x:fill>
    <x:fill>
      <x:patternFill patternType="solid">
        <x:fgColor rgb="FFDDF4EF"/>
      </x:patternFill>
    </x:fill>
    <x:fill>
      <x:patternFill patternType="solid">
        <x:fgColor rgb="FF1F4E79"/>
      </x:patternFill>
    </x:fill>
    <x:fill>
      <x:patternFill patternType="solid">
        <x:fgColor rgb="FF183B5B"/>
      </x:patternFill>
    </x:fill>
    <x:fill>
      <x:patternFill patternType="solid">
        <x:fgColor rgb="FF0F766E"/>
      </x:patternFill>
    </x:fill>
    <x:fill>
      <x:patternFill patternType="solid">
        <x:fgColor rgb="FFDCEAF7"/>
      </x:patternFill>
    </x:fill>
    <x:fill>
      <x:patternFill patternType="solid">
        <x:fgColor rgb="FFF3F4F6"/>
      </x:patternFill>
    </x:fill>
    <x:fill>
      <x:patternFill patternType="solid">
        <x:fgColor rgb="FF183B5B"/>
      </x:patternFill>
    </x:fill>
    <x:fill>
      <x:patternFill patternType="solid">
        <x:fgColor rgb="FF0F766E"/>
      </x:patternFill>
    </x:fill>
    <x:fill>
      <x:patternFill patternType="solid">
        <x:fgColor rgb="FFDCEAF7"/>
      </x:patternFill>
    </x:fill>
    <x:fill>
      <x:patternFill patternType="solid">
        <x:fgColor rgb="FFF3F4F6"/>
      </x:patternFill>
    </x:fill>
    <x:fill>
      <x:patternFill patternType="solid">
        <x:fgColor rgb="FFDDF4EF"/>
      </x:patternFill>
    </x:fill>
    <x:fill>
      <x:patternFill patternType="solid">
        <x:fgColor rgb="FF183B5B"/>
      </x:patternFill>
    </x:fill>
    <x:fill>
      <x:patternFill patternType="solid">
        <x:fgColor rgb="FF0F766E"/>
      </x:patternFill>
    </x:fill>
    <x:fill>
      <x:patternFill patternType="solid">
        <x:fgColor rgb="FFDCEAF7"/>
      </x:patternFill>
    </x:fill>
    <x:fill>
      <x:patternFill patternType="solid">
        <x:fgColor rgb="FFF3F4F6"/>
      </x:patternFill>
    </x:fill>
    <x:fill>
      <x:patternFill patternType="solid">
        <x:fgColor rgb="FFDDF4EF"/>
      </x:patternFill>
    </x:fill>
  </x:fills>
  <x:borders count="51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4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203" fontId="0" fillId="0" borderId="3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borderId="1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16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2" xfId="0" applyNumberFormat="1" applyFont="1" applyFill="1" applyBorder="1"/>
    <x:xf numFmtId="203" fontId="0" fillId="0" borderId="4" xfId="0" applyNumberFormat="1" applyFont="1" applyFill="1" applyBorder="1"/>
    <x:xf numFmtId="0" fontId="0" fillId="0" borderId="5" xfId="0" applyNumberFormat="1" applyFont="1" applyFill="1" applyBorder="1"/>
    <x:xf numFmtId="203" fontId="0" fillId="0" borderId="6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3" fontId="0" fillId="0" borderId="12" xfId="0" applyNumberFormat="1" applyFont="1" applyFill="1" applyBorder="1"/>
    <x:xf numFmtId="0" fontId="0" fillId="0" borderId="13" xfId="0" applyNumberFormat="1" applyFont="1" applyFill="1" applyBorder="1"/>
    <x:xf numFmtId="203" fontId="0" fillId="0" borderId="14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3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3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3" fontId="0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202" fontId="0" fillId="0" borderId="6" xfId="0" applyNumberFormat="1" applyFont="1" applyFill="1" applyBorder="1"/>
    <x:xf numFmtId="0" fontId="0" fillId="0" borderId="12" xfId="0" applyNumberFormat="1" applyFont="1" applyFill="1" applyBorder="1"/>
    <x:xf numFmtId="202" fontId="0" fillId="0" borderId="1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2" fontId="0" fillId="0" borderId="14" xfId="0" applyNumberFormat="1" applyFont="1" applyFill="1" applyBorder="1" applyAlignment="1">
      <x:alignment wrapText="1"/>
    </x:xf>
    <x:xf numFmtId="201" fontId="0" fillId="0" borderId="6" xfId="0" applyNumberFormat="1" applyFont="1" applyFill="1" applyBorder="1"/>
    <x:xf numFmtId="201" fontId="0" fillId="0" borderId="14" xfId="0" applyNumberFormat="1" applyFont="1" applyFill="1" applyBorder="1"/>
    <x:xf numFmtId="201" fontId="0" fillId="0" borderId="6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203" fontId="0" fillId="5" borderId="4" xfId="0" applyNumberFormat="1" applyFont="1" applyFill="1" applyBorder="1" applyAlignment="1">
      <x:alignment wrapText="1"/>
    </x:xf>
    <x:xf numFmtId="203" fontId="0" fillId="5" borderId="6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3" fontId="0" fillId="5" borderId="12" xfId="0" applyNumberFormat="1" applyFont="1" applyFill="1" applyBorder="1" applyAlignment="1">
      <x:alignment wrapText="1"/>
    </x:xf>
    <x:xf numFmtId="203" fontId="0" fillId="5" borderId="14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202" fontId="0" fillId="5" borderId="6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202" fontId="0" fillId="5" borderId="14" xfId="0" applyNumberFormat="1" applyFont="1" applyFill="1" applyBorder="1" applyAlignment="1">
      <x:alignment wrapText="1"/>
    </x:xf>
    <x:xf numFmtId="201" fontId="0" fillId="5" borderId="6" xfId="0" applyNumberFormat="1" applyFont="1" applyFill="1" applyBorder="1" applyAlignment="1">
      <x:alignment wrapText="1"/>
    </x:xf>
    <x:xf numFmtId="201" fontId="0" fillId="5" borderId="14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horizontal="center" vertical="center"/>
    </x:xf>
    <x:xf numFmtId="0" fontId="4" fillId="5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horizontal="center" vertical="center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7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3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200" fontId="0" fillId="5" borderId="4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4" fontId="0" fillId="5" borderId="6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205" fontId="0" fillId="5" borderId="6" xfId="0" applyNumberFormat="1" applyFont="1" applyFill="1" applyBorder="1" applyAlignment="1">
      <x:alignment wrapText="1"/>
    </x:xf>
    <x:xf numFmtId="205" fontId="0" fillId="5" borderId="0" xfId="0" applyNumberFormat="1" applyFont="1" applyFill="1" applyBorder="1" applyAlignment="1">
      <x:alignment wrapText="1"/>
    </x:xf>
    <x:xf numFmtId="206" fontId="0" fillId="5" borderId="4" xfId="0" applyNumberFormat="1" applyFont="1" applyFill="1" applyBorder="1" applyAlignment="1">
      <x:alignment wrapText="1"/>
    </x:xf>
    <x:xf numFmtId="206" fontId="0" fillId="5" borderId="6" xfId="0" applyNumberFormat="1" applyFont="1" applyFill="1" applyBorder="1" applyAlignment="1">
      <x:alignment wrapText="1"/>
    </x:xf>
    <x:xf numFmtId="206" fontId="0" fillId="5" borderId="9" xfId="0" applyNumberFormat="1" applyFont="1" applyFill="1" applyBorder="1" applyAlignment="1">
      <x:alignment wrapText="1"/>
    </x:xf>
    <x:xf numFmtId="206" fontId="0" fillId="5" borderId="0" xfId="0" applyNumberFormat="1" applyFont="1" applyFill="1" applyBorder="1" applyAlignment="1">
      <x:alignment wrapText="1"/>
    </x:xf>
    <x:xf numFmtId="205" fontId="0" fillId="5" borderId="4" xfId="0" applyNumberFormat="1" applyFont="1" applyFill="1" applyBorder="1" applyAlignment="1">
      <x:alignment wrapText="1"/>
    </x:xf>
    <x:xf numFmtId="205" fontId="0" fillId="5" borderId="9" xfId="0" applyNumberFormat="1" applyFont="1" applyFill="1" applyBorder="1" applyAlignment="1">
      <x:alignment wrapText="1"/>
    </x:xf>
    <x:xf numFmtId="207" fontId="0" fillId="0" borderId="2" xfId="0" applyNumberFormat="1" applyFont="1" applyFill="1" applyBorder="1" applyAlignment="1">
      <x:alignment vertical="top" wrapText="1"/>
    </x:xf>
    <x:xf numFmtId="207" fontId="0" fillId="0" borderId="5" xfId="0" applyNumberFormat="1" applyFont="1" applyFill="1" applyBorder="1" applyAlignment="1">
      <x:alignment vertical="top" wrapText="1"/>
    </x:xf>
    <x:xf numFmtId="207" fontId="0" fillId="0" borderId="7" xfId="0" applyNumberFormat="1" applyFont="1" applyFill="1" applyBorder="1" applyAlignment="1">
      <x:alignment vertical="top" wrapText="1"/>
    </x:xf>
    <x:xf numFmtId="207" fontId="0" fillId="0" borderId="0" xfId="0" applyNumberFormat="1" applyFont="1" applyFill="1" applyBorder="1" applyAlignment="1">
      <x:alignment vertical="top" wrapText="1"/>
    </x:xf>
    <x:xf numFmtId="205" fontId="0" fillId="0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5" fontId="0" fillId="0" borderId="8" xfId="0" applyNumberFormat="1" applyFont="1" applyFill="1" applyBorder="1" applyAlignment="1">
      <x:alignment vertical="top" wrapText="1"/>
    </x:xf>
    <x:xf numFmtId="204" fontId="0" fillId="0" borderId="3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8" xfId="0" applyNumberFormat="1" applyFont="1" applyFill="1" applyBorder="1" applyAlignment="1">
      <x:alignment vertical="top" wrapText="1"/>
    </x:xf>
    <x:xf numFmtId="207" fontId="0" fillId="0" borderId="3" xfId="0" applyNumberFormat="1" applyFont="1" applyFill="1" applyBorder="1" applyAlignment="1">
      <x:alignment vertical="top" wrapText="1"/>
    </x:xf>
    <x:xf numFmtId="207" fontId="0" fillId="0" borderId="8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top" wrapText="1"/>
    </x:xf>
    <x:xf numFmtId="0" fontId="3" fillId="10" borderId="18" xfId="0" applyNumberFormat="1" applyFont="1" applyFill="1" applyBorder="1" applyAlignment="1">
      <x:alignment vertical="center" wrapText="1"/>
    </x:xf>
    <x:xf numFmtId="0" fontId="0" fillId="11" borderId="19" xfId="0" applyNumberFormat="1" applyFont="1" applyFill="1" applyBorder="1" applyAlignment="1">
      <x:alignment vertical="top" wrapText="1"/>
    </x:xf>
    <x:xf numFmtId="0" fontId="0" fillId="11" borderId="20" xfId="0" applyNumberFormat="1" applyFont="1" applyFill="1" applyBorder="1" applyAlignment="1">
      <x:alignment vertical="top" wrapText="1"/>
    </x:xf>
    <x:xf numFmtId="0" fontId="3" fillId="10" borderId="21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top" wrapText="1"/>
    </x:xf>
    <x:xf numFmtId="0" fontId="0" fillId="11" borderId="22" xfId="0" applyNumberFormat="1" applyFont="1" applyFill="1" applyBorder="1" applyAlignment="1">
      <x:alignment vertical="top" wrapText="1"/>
    </x:xf>
    <x:xf numFmtId="0" fontId="3" fillId="10" borderId="23" xfId="0" applyNumberFormat="1" applyFont="1" applyFill="1" applyBorder="1" applyAlignment="1">
      <x:alignment vertical="center" wrapText="1"/>
    </x:xf>
    <x:xf numFmtId="0" fontId="0" fillId="11" borderId="24" xfId="0" applyNumberFormat="1" applyFont="1" applyFill="1" applyBorder="1" applyAlignment="1">
      <x:alignment vertical="top" wrapText="1"/>
    </x:xf>
    <x:xf numFmtId="0" fontId="0" fillId="11" borderId="25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18" xfId="0" applyNumberFormat="1" applyFont="1" applyFill="1" applyBorder="1" applyAlignment="1">
      <x:alignment horizontal="center" vertical="center" wrapText="1"/>
    </x:xf>
    <x:xf numFmtId="0" fontId="1" fillId="8" borderId="19" xfId="0" applyNumberFormat="1" applyFont="1" applyFill="1" applyBorder="1" applyAlignment="1">
      <x:alignment horizontal="center" vertical="center" wrapText="1"/>
    </x:xf>
    <x:xf numFmtId="0" fontId="1" fillId="8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11" borderId="20" xfId="0" applyNumberFormat="1" applyFont="1" applyFill="1" applyBorder="1" applyAlignment="1">
      <x:alignment wrapText="1"/>
    </x:xf>
    <x:xf numFmtId="0" fontId="0" fillId="11" borderId="22" xfId="0" applyNumberFormat="1" applyFont="1" applyFill="1" applyBorder="1" applyAlignment="1">
      <x:alignment wrapText="1"/>
    </x:xf>
    <x:xf numFmtId="0" fontId="0" fillId="11" borderId="25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top" wrapText="1"/>
    </x:xf>
    <x:xf numFmtId="0" fontId="3" fillId="10" borderId="18" xfId="0" applyNumberFormat="1" applyFont="1" applyFill="1" applyBorder="1" applyAlignment="1">
      <x:alignment vertical="top" wrapText="1"/>
    </x:xf>
    <x:xf numFmtId="0" fontId="3" fillId="10" borderId="21" xfId="0" applyNumberFormat="1" applyFont="1" applyFill="1" applyBorder="1" applyAlignment="1">
      <x:alignment vertical="top" wrapText="1"/>
    </x:xf>
    <x:xf numFmtId="0" fontId="3" fillId="10" borderId="23" xfId="0" applyNumberFormat="1" applyFont="1" applyFill="1" applyBorder="1" applyAlignment="1">
      <x:alignment vertical="top" wrapText="1"/>
    </x:xf>
    <x:xf numFmtId="0" fontId="1" fillId="8" borderId="18" xfId="0" applyNumberFormat="1" applyFont="1" applyFill="1" applyBorder="1" applyAlignment="1">
      <x:alignment horizontal="center" vertical="top" wrapText="1"/>
    </x:xf>
    <x:xf numFmtId="0" fontId="1" fillId="8" borderId="19" xfId="0" applyNumberFormat="1" applyFont="1" applyFill="1" applyBorder="1" applyAlignment="1">
      <x:alignment horizontal="center" vertical="top" wrapText="1"/>
    </x:xf>
    <x:xf numFmtId="0" fontId="1" fillId="8" borderId="20" xfId="0" applyNumberFormat="1" applyFont="1" applyFill="1" applyBorder="1" applyAlignment="1">
      <x:alignment horizontal="center"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200" fontId="0" fillId="0" borderId="27" xfId="0" applyNumberFormat="1" applyFont="1" applyFill="1" applyBorder="1" applyAlignment="1">
      <x:alignment vertical="top" wrapText="1"/>
    </x:xf>
    <x:xf numFmtId="203" fontId="0" fillId="0" borderId="27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top"/>
    </x:xf>
    <x:xf numFmtId="0" fontId="1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wrapText="1"/>
    </x:xf>
    <x:xf numFmtId="207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201" fontId="0" fillId="0" borderId="30" xfId="0" applyNumberFormat="1" applyFont="1" applyFill="1" applyBorder="1" applyAlignment="1">
      <x:alignment vertical="top" wrapText="1"/>
    </x:xf>
    <x:xf numFmtId="202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207" fontId="0" fillId="0" borderId="32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2" fontId="0" fillId="0" xfId="0" applyNumberFormat="1" applyFont="1" applyFill="1" applyBorder="0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207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201" fontId="0" fillId="0" borderId="35" xfId="0" applyNumberFormat="1" applyFont="1" applyFill="1" applyBorder="1" applyAlignment="1">
      <x:alignment vertical="top" wrapText="1"/>
    </x:xf>
    <x:xf numFmtId="202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200" fontId="0" fillId="0" borderId="29" xfId="0" applyNumberFormat="1" applyFont="1" applyFill="1" applyBorder="1" applyAlignment="1">
      <x:alignment vertical="top" wrapText="1"/>
    </x:xf>
    <x:xf numFmtId="200" fontId="0" fillId="0" borderId="32" xfId="0" applyNumberFormat="1" applyFont="1" applyFill="1" applyBorder="1" applyAlignment="1">
      <x:alignment vertical="top" wrapText="1"/>
    </x:xf>
    <x:xf numFmtId="200" fontId="0" fillId="0" borderId="34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200" fontId="0" fillId="0" borderId="38" xfId="0" applyNumberFormat="1" applyFont="1" applyFill="1" applyBorder="1" applyAlignment="1">
      <x:alignment vertical="top" wrapText="1"/>
    </x:xf>
    <x:xf numFmtId="203" fontId="0" fillId="0" borderId="38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horizontal="center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top" wrapText="1"/>
    </x:xf>
    <x:xf numFmtId="0" fontId="3" fillId="14" borderId="29" xfId="0" applyNumberFormat="1" applyFont="1" applyFill="1" applyBorder="1" applyAlignment="1">
      <x:alignment vertical="center" wrapText="1"/>
    </x:xf>
    <x:xf numFmtId="0" fontId="0" fillId="15" borderId="30" xfId="0" applyNumberFormat="1" applyFont="1" applyFill="1" applyBorder="1" applyAlignment="1">
      <x:alignment vertical="top" wrapText="1"/>
    </x:xf>
    <x:xf numFmtId="0" fontId="0" fillId="15" borderId="31" xfId="0" applyNumberFormat="1" applyFont="1" applyFill="1" applyBorder="1" applyAlignment="1">
      <x:alignment vertical="top" wrapText="1"/>
    </x:xf>
    <x:xf numFmtId="0" fontId="3" fillId="14" borderId="32" xfId="0" applyNumberFormat="1" applyFont="1" applyFill="1" applyBorder="1" applyAlignment="1">
      <x:alignment vertical="center" wrapText="1"/>
    </x:xf>
    <x:xf numFmtId="0" fontId="0" fillId="15" xfId="0" applyNumberFormat="1" applyFont="1" applyFill="1" applyBorder="0" applyAlignment="1">
      <x:alignment vertical="top" wrapText="1"/>
    </x:xf>
    <x:xf numFmtId="0" fontId="0" fillId="15" borderId="33" xfId="0" applyNumberFormat="1" applyFont="1" applyFill="1" applyBorder="1" applyAlignment="1">
      <x:alignment vertical="top" wrapText="1"/>
    </x:xf>
    <x:xf numFmtId="0" fontId="3" fillId="14" borderId="34" xfId="0" applyNumberFormat="1" applyFont="1" applyFill="1" applyBorder="1" applyAlignment="1">
      <x:alignment vertical="center" wrapText="1"/>
    </x:xf>
    <x:xf numFmtId="0" fontId="0" fillId="15" borderId="35" xfId="0" applyNumberFormat="1" applyFont="1" applyFill="1" applyBorder="1" applyAlignment="1">
      <x:alignment vertical="top" wrapText="1"/>
    </x:xf>
    <x:xf numFmtId="0" fontId="0" fillId="15" borderId="36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29" xfId="0" applyNumberFormat="1" applyFont="1" applyFill="1" applyBorder="1" applyAlignment="1">
      <x:alignment horizontal="center" vertical="center" wrapText="1"/>
    </x:xf>
    <x:xf numFmtId="0" fontId="1" fillId="12" borderId="30" xfId="0" applyNumberFormat="1" applyFont="1" applyFill="1" applyBorder="1" applyAlignment="1">
      <x:alignment horizontal="center" vertical="center" wrapText="1"/>
    </x:xf>
    <x:xf numFmtId="0" fontId="1" fillId="12" borderId="31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31" xfId="0" applyNumberFormat="1" applyFont="1" applyFill="1" applyBorder="1" applyAlignment="1">
      <x:alignment vertical="top" wrapText="1"/>
    </x:xf>
    <x:xf numFmtId="0" fontId="0" fillId="16" borderId="33" xfId="0" applyNumberFormat="1" applyFont="1" applyFill="1" applyBorder="1" applyAlignment="1">
      <x:alignment vertical="top" wrapText="1"/>
    </x:xf>
    <x:xf numFmtId="0" fontId="0" fillId="16" borderId="36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201" fontId="0" fillId="0" borderId="41" xfId="0" applyNumberFormat="1" applyFont="1" applyFill="1" applyBorder="1" applyAlignment="1">
      <x:alignment vertical="top" wrapText="1"/>
    </x:xf>
    <x:xf numFmtId="202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20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200" fontId="0" fillId="0" borderId="45" xfId="0" applyNumberFormat="1" applyFont="1" applyFill="1" applyBorder="1" applyAlignment="1">
      <x:alignment vertical="top" wrapText="1"/>
    </x:xf>
    <x:xf numFmtId="0" fontId="0" fillId="0" borderId="46" xfId="0" applyNumberFormat="1" applyFont="1" applyFill="1" applyBorder="1" applyAlignment="1">
      <x:alignment vertical="top" wrapText="1"/>
    </x:xf>
    <x:xf numFmtId="201" fontId="0" fillId="0" borderId="46" xfId="0" applyNumberFormat="1" applyFont="1" applyFill="1" applyBorder="1" applyAlignment="1">
      <x:alignment vertical="top" wrapText="1"/>
    </x:xf>
    <x:xf numFmtId="202" fontId="0" fillId="0" borderId="46" xfId="0" applyNumberFormat="1" applyFont="1" applyFill="1" applyBorder="1" applyAlignment="1">
      <x:alignment vertical="top" wrapText="1"/>
    </x:xf>
    <x:xf numFmtId="0" fontId="0" fillId="0" borderId="47" xfId="0" applyNumberFormat="1" applyFont="1" applyFill="1" applyBorder="1" applyAlignment="1">
      <x:alignment vertical="top" wrapText="1"/>
    </x:xf>
    <x:xf numFmtId="0" fontId="0" fillId="0" borderId="48" xfId="0" applyNumberFormat="1" applyFont="1" applyFill="1" applyBorder="1" applyAlignment="1">
      <x:alignment vertical="top" wrapText="1"/>
    </x:xf>
    <x:xf numFmtId="200" fontId="0" fillId="0" borderId="49" xfId="0" applyNumberFormat="1" applyFont="1" applyFill="1" applyBorder="1" applyAlignment="1">
      <x:alignment vertical="top" wrapText="1"/>
    </x:xf>
    <x:xf numFmtId="0" fontId="0" fillId="0" borderId="49" xfId="0" applyNumberFormat="1" applyFont="1" applyFill="1" applyBorder="1" applyAlignment="1">
      <x:alignment vertical="top" wrapText="1"/>
    </x:xf>
    <x:xf numFmtId="203" fontId="0" fillId="0" borderId="49" xfId="0" applyNumberFormat="1" applyFont="1" applyFill="1" applyBorder="1" applyAlignment="1">
      <x:alignment vertical="top" wrapText="1"/>
    </x:xf>
    <x:xf numFmtId="0" fontId="0" fillId="0" borderId="50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3" fillId="19" borderId="29" xfId="0" applyNumberFormat="1" applyFont="1" applyFill="1" applyBorder="1" applyAlignment="1">
      <x:alignment vertical="center" wrapText="1"/>
    </x:xf>
    <x:xf numFmtId="0" fontId="3" fillId="19" borderId="32" xfId="0" applyNumberFormat="1" applyFont="1" applyFill="1" applyBorder="1" applyAlignment="1">
      <x:alignment vertical="center" wrapText="1"/>
    </x:xf>
    <x:xf numFmtId="0" fontId="3" fillId="19" borderId="34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 applyAlignment="1">
      <x:alignment vertical="center" wrapText="1"/>
    </x:xf>
    <x:xf numFmtId="0" fontId="0" fillId="20" borderId="30" xfId="0" applyNumberFormat="1" applyFont="1" applyFill="1" applyBorder="1" applyAlignment="1">
      <x:alignment vertical="top" wrapText="1"/>
    </x:xf>
    <x:xf numFmtId="0" fontId="0" fillId="20" borderId="31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33" xfId="0" applyNumberFormat="1" applyFont="1" applyFill="1" applyBorder="1" applyAlignment="1">
      <x:alignment vertical="top" wrapText="1"/>
    </x:xf>
    <x:xf numFmtId="0" fontId="0" fillId="20" borderId="35" xfId="0" applyNumberFormat="1" applyFont="1" applyFill="1" applyBorder="1" applyAlignment="1">
      <x:alignment vertical="top" wrapText="1"/>
    </x:xf>
    <x:xf numFmtId="0" fontId="0" fillId="20" borderId="36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3" fillId="19" borderId="40" xfId="0" applyNumberFormat="1" applyFont="1" applyFill="1" applyBorder="1" applyAlignment="1">
      <x:alignment vertical="center" wrapText="1"/>
    </x:xf>
    <x:xf numFmtId="0" fontId="0" fillId="20" borderId="41" xfId="0" applyNumberFormat="1" applyFont="1" applyFill="1" applyBorder="1" applyAlignment="1">
      <x:alignment vertical="top" wrapText="1"/>
    </x:xf>
    <x:xf numFmtId="0" fontId="0" fillId="20" borderId="42" xfId="0" applyNumberFormat="1" applyFont="1" applyFill="1" applyBorder="1" applyAlignment="1">
      <x:alignment vertical="top" wrapText="1"/>
    </x:xf>
    <x:xf numFmtId="0" fontId="3" fillId="19" borderId="43" xfId="0" applyNumberFormat="1" applyFont="1" applyFill="1" applyBorder="1" applyAlignment="1">
      <x:alignment vertical="center" wrapText="1"/>
    </x:xf>
    <x:xf numFmtId="0" fontId="0" fillId="20" borderId="44" xfId="0" applyNumberFormat="1" applyFont="1" applyFill="1" applyBorder="1" applyAlignment="1">
      <x:alignment vertical="top" wrapText="1"/>
    </x:xf>
    <x:xf numFmtId="0" fontId="3" fillId="19" borderId="45" xfId="0" applyNumberFormat="1" applyFont="1" applyFill="1" applyBorder="1" applyAlignment="1">
      <x:alignment vertical="center" wrapText="1"/>
    </x:xf>
    <x:xf numFmtId="0" fontId="0" fillId="20" borderId="46" xfId="0" applyNumberFormat="1" applyFont="1" applyFill="1" applyBorder="1" applyAlignment="1">
      <x:alignment vertical="top" wrapText="1"/>
    </x:xf>
    <x:xf numFmtId="0" fontId="0" fillId="20" borderId="47" xfId="0" applyNumberFormat="1" applyFont="1" applyFill="1" applyBorder="1" applyAlignment="1">
      <x:alignment vertical="top" wrapText="1"/>
    </x:xf>
    <x:xf numFmtId="0" fontId="1" fillId="17" borderId="29" xfId="0" applyNumberFormat="1" applyFont="1" applyFill="1" applyBorder="1" applyAlignment="1">
      <x:alignment horizontal="center" vertical="center" wrapText="1"/>
    </x:xf>
    <x:xf numFmtId="0" fontId="1" fillId="17" borderId="30" xfId="0" applyNumberFormat="1" applyFont="1" applyFill="1" applyBorder="1" applyAlignment="1">
      <x:alignment horizontal="center" vertical="center" wrapText="1"/>
    </x:xf>
    <x:xf numFmtId="0" fontId="1" fillId="17" borderId="31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1" fillId="17" borderId="40" xfId="0" applyNumberFormat="1" applyFont="1" applyFill="1" applyBorder="1" applyAlignment="1">
      <x:alignment horizontal="center" vertical="center" wrapText="1"/>
    </x:xf>
    <x:xf numFmtId="0" fontId="1" fillId="17" borderId="41" xfId="0" applyNumberFormat="1" applyFont="1" applyFill="1" applyBorder="1" applyAlignment="1">
      <x:alignment horizontal="center" vertical="center" wrapText="1"/>
    </x:xf>
    <x:xf numFmtId="0" fontId="1" fillId="17" borderId="42" xfId="0" applyNumberFormat="1" applyFont="1" applyFill="1" applyBorder="1" applyAlignment="1">
      <x:alignment horizontal="center" vertical="center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21" borderId="31" xfId="0" applyNumberFormat="1" applyFont="1" applyFill="1" applyBorder="1" applyAlignment="1">
      <x:alignment vertical="top" wrapText="1"/>
    </x:xf>
    <x:xf numFmtId="0" fontId="0" fillId="21" borderId="33" xfId="0" applyNumberFormat="1" applyFont="1" applyFill="1" applyBorder="1" applyAlignment="1">
      <x:alignment vertical="top" wrapText="1"/>
    </x:xf>
    <x:xf numFmtId="0" fontId="0" fillId="21" borderId="36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0" fillId="21" borderId="42" xfId="0" applyNumberFormat="1" applyFont="1" applyFill="1" applyBorder="1" applyAlignment="1">
      <x:alignment vertical="top" wrapText="1"/>
    </x:xf>
    <x:xf numFmtId="0" fontId="0" fillId="21" borderId="44" xfId="0" applyNumberFormat="1" applyFont="1" applyFill="1" applyBorder="1" applyAlignment="1">
      <x:alignment vertical="top" wrapText="1"/>
    </x:xf>
    <x:xf numFmtId="0" fontId="0" fillId="21" borderId="47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94856e443433a" /><Relationship Type="http://schemas.openxmlformats.org/officeDocument/2006/relationships/theme" Target="/xl/theme/theme1.xml" Id="R8e4ee31f877c4c8c" /><Relationship Type="http://schemas.openxmlformats.org/officeDocument/2006/relationships/sharedStrings" Target="/xl/sharedStrings.xml" Id="R708e76d078f74046" /><Relationship Type="http://schemas.openxmlformats.org/officeDocument/2006/relationships/worksheet" Target="/xl/worksheets/sheet1.xml" Id="R7f3caaed4b0645b1" /><Relationship Type="http://schemas.openxmlformats.org/officeDocument/2006/relationships/worksheet" Target="/xl/worksheets/sheet2.xml" Id="R6642a14e641a4948" /><Relationship Type="http://schemas.openxmlformats.org/officeDocument/2006/relationships/worksheet" Target="/xl/worksheets/sheet3.xml" Id="R74b56c6c994b4978" /><Relationship Type="http://schemas.openxmlformats.org/officeDocument/2006/relationships/worksheet" Target="/xl/worksheets/sheet4.xml" Id="R5da5c8e206564373" /><Relationship Type="http://schemas.openxmlformats.org/officeDocument/2006/relationships/worksheet" Target="/xl/worksheets/sheet5.xml" Id="R4655802ecec64011" /><Relationship Type="http://schemas.openxmlformats.org/officeDocument/2006/relationships/worksheet" Target="/xl/worksheets/sheet6.xml" Id="R2fa6dd1a51954ff5" /><Relationship Type="http://schemas.openxmlformats.org/officeDocument/2006/relationships/worksheet" Target="/xl/worksheets/sheet7.xml" Id="R88ea9db22fae4776" /><Relationship Type="http://schemas.openxmlformats.org/officeDocument/2006/relationships/worksheet" Target="/xl/worksheets/sheet8.xml" Id="Rd7f46eb60759493f" /><Relationship Type="http://schemas.openxmlformats.org/officeDocument/2006/relationships/worksheet" Target="/xl/worksheets/sheet9.xml" Id="Rdfd4e81d940548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d637aad0dc40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每日计划核心小时 vs 实际小时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计划核心小时</c:v>
          </c:tx>
          <c:cat>
            <c:strRef>
              <c:f>'每日汇报'!$A$2:$A$9</c:f>
              <c:strCache>
                <c:ptCount val="0"/>
              </c:strCache>
            </c:strRef>
          </c:cat>
          <c:val>
            <c:numRef>
              <c:f>'每日汇报'!$B$2:$B$9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实际小时</c:v>
          </c:tx>
          <c:cat>
            <c:strRef>
              <c:f>'每日汇报'!$A$2:$A$9</c:f>
              <c:strCache>
                <c:ptCount val="0"/>
              </c:strCache>
            </c:strRef>
          </c:cat>
          <c:val>
            <c:numRef>
              <c:f>'每日汇报'!$C$2:$C$9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d637aad0dc409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hesisSprintTasks" displayName="ThesisSprintTasks" ref="A1:S41" headerRowCount="1">
  <x:tableColumns count="19">
    <x:tableColumn id="1" name="日期"/>
    <x:tableColumn id="2" name="星期"/>
    <x:tableColumn id="3" name="编号"/>
    <x:tableColumn id="4" name="时段"/>
    <x:tableColumn id="5" name="类型"/>
    <x:tableColumn id="6" name="模块"/>
    <x:tableColumn id="7" name="优先级"/>
    <x:tableColumn id="8" name="任务"/>
    <x:tableColumn id="9" name="完成标准"/>
    <x:tableColumn id="10" name="计划小时"/>
    <x:tableColumn id="11" name="状态"/>
    <x:tableColumn id="12" name="完成度"/>
    <x:tableColumn id="13" name="实际小时"/>
    <x:tableColumn id="14" name="加权完成小时"/>
    <x:tableColumn id="15" name="产出/证据"/>
    <x:tableColumn id="16" name="阻塞"/>
    <x:tableColumn id="17" name="下一步"/>
    <x:tableColumn id="18" name="备注"/>
    <x:tableColumn id="19" name="时效"/>
  </x:tableColumns>
  <x:tableStyleInfo name="TableStyleMedium2" showRowStripes="1"/>
</x:table>
</file>

<file path=xl/tables/table2.xml><?xml version="1.0" encoding="utf-8"?>
<x:table xmlns:x="http://schemas.openxmlformats.org/spreadsheetml/2006/main" id="2" name="DailyCheckins" displayName="DailyCheckins" ref="A1:O9" headerRowCount="1">
  <x:tableColumns count="15">
    <x:tableColumn id="1" name="日期"/>
    <x:tableColumn id="2" name="计划核心小时"/>
    <x:tableColumn id="3" name="实际小时"/>
    <x:tableColumn id="4" name="计划块数"/>
    <x:tableColumn id="5" name="完成块数"/>
    <x:tableColumn id="6" name="完成率"/>
    <x:tableColumn id="7" name="新增词数"/>
    <x:tableColumn id="8" name="图片占位符剩余"/>
    <x:tableColumn id="9" name="编译错误"/>
    <x:tableColumn id="10" name="未定义引用/文献"/>
    <x:tableColumn id="11" name="当日状态"/>
    <x:tableColumn id="12" name="完成摘要"/>
    <x:tableColumn id="13" name="最大阻塞"/>
    <x:tableColumn id="14" name="明日首要任务"/>
    <x:tableColumn id="15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Milestones" displayName="Milestones" ref="A1:I8" headerRowCount="1">
  <x:tableColumns count="9">
    <x:tableColumn id="1" name="编号"/>
    <x:tableColumn id="2" name="截止时间"/>
    <x:tableColumn id="3" name="里程碑"/>
    <x:tableColumn id="4" name="验收条件"/>
    <x:tableColumn id="5" name="优先级"/>
    <x:tableColumn id="6" name="状态"/>
    <x:tableColumn id="7" name="完成时间"/>
    <x:tableColumn id="8" name="产出/证据"/>
    <x:tableColumn id="9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IssueRegister" displayName="IssueRegister" ref="A1:K16" headerRowCount="1">
  <x:tableColumns count="11">
    <x:tableColumn id="1" name="编号"/>
    <x:tableColumn id="2" name="发现日期"/>
    <x:tableColumn id="3" name="优先级"/>
    <x:tableColumn id="4" name="类型"/>
    <x:tableColumn id="5" name="位置"/>
    <x:tableColumn id="6" name="问题描述"/>
    <x:tableColumn id="7" name="状态"/>
    <x:tableColumn id="8" name="截止时间"/>
    <x:tableColumn id="9" name="解决方案/结论"/>
    <x:tableColumn id="10" name="负责人"/>
    <x:tableColumn id="11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ReminderPlanTable" displayName="ReminderPlanTable" ref="A1:H54" headerRowCount="1">
  <x:tableColumns count="8">
    <x:tableColumn id="1" name="日期"/>
    <x:tableColumn id="2" name="时间"/>
    <x:tableColumn id="3" name="提醒类型"/>
    <x:tableColumn id="4" name="关联编号"/>
    <x:tableColumn id="5" name="标题"/>
    <x:tableColumn id="6" name="提醒节点"/>
    <x:tableColumn id="7" name="执行动作"/>
    <x:tableColumn id="8" name="是否进入 ChatGPT 自动提醒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2f100a98e14c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8a73d798c149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43269ab1a446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33a304d51848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22efd9e60f40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71c230e9c1c47d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" hidden="0" customWidth="1"/>
    <x:col min="4" max="4" width="19" hidden="0" customWidth="1"/>
    <x:col min="5" max="5" width="15" hidden="0" customWidth="1"/>
    <x:col min="6" max="6" width="3" hidden="0" customWidth="1"/>
    <x:col min="7" max="7" width="19" hidden="0" customWidth="1"/>
    <x:col min="8" max="8" width="15" hidden="0" customWidth="1"/>
  </x:cols>
  <x:sheetData>
    <x:row r="1" ht="28" customHeight="1">
      <x:c r="A1" s="64" t="str">
        <x:v>博士论文冲刺任务追踪｜2026-06-23 至 2026-06-30</x:v>
      </x:c>
      <x:c r="B1" s="64"/>
      <x:c r="C1" s="64"/>
      <x:c r="D1" s="64"/>
      <x:c r="E1" s="64"/>
      <x:c r="F1" s="64"/>
      <x:c r="G1" s="64"/>
      <x:c r="H1" s="64"/>
    </x:row>
    <x:row r="2" ht="28" customHeight="1">
      <x:c r="A2" s="64"/>
      <x:c r="B2" s="64"/>
      <x:c r="C2" s="64"/>
      <x:c r="D2" s="64"/>
      <x:c r="E2" s="64"/>
      <x:c r="F2" s="64"/>
      <x:c r="G2" s="64"/>
      <x:c r="H2" s="64"/>
    </x:row>
    <x:row r="4">
      <x:c r="A4" s="70" t="str">
        <x:v>时间控制</x:v>
      </x:c>
      <x:c r="B4" s="70"/>
      <x:c r="D4" s="70" t="str">
        <x:v>核心进度</x:v>
      </x:c>
      <x:c r="E4" s="70"/>
      <x:c r="G4" s="70" t="str">
        <x:v>今日监控</x:v>
      </x:c>
      <x:c r="H4" s="70"/>
    </x:row>
    <x:row r="5">
      <x:c r="A5" s="126" t="str">
        <x:v>当前日期</x:v>
      </x:c>
      <x:c r="B5" s="232" t="n">
        <x:f>TODAY()</x:f>
        <x:v>46197</x:v>
      </x:c>
      <x:c r="D5" s="126" t="str">
        <x:v>核心任务数</x:v>
      </x:c>
      <x:c r="E5" s="242" t="n">
        <x:f>COUNTIF('任务清单'!$E$2:$E$41,"核心")</x:f>
        <x:v>34</x:v>
      </x:c>
      <x:c r="G5" s="126" t="str">
        <x:v>今日计划块数</x:v>
      </x:c>
      <x:c r="H5" s="242" t="n">
        <x:f>COUNTIFS('任务清单'!$A$2:$A$41,TODAY(),'任务清单'!$E$2:$E$41,"核心")</x:f>
        <x:v>7</x:v>
      </x:c>
    </x:row>
    <x:row r="6">
      <x:c r="A6" s="127" t="str">
        <x:v>内容冻结</x:v>
      </x:c>
      <x:c r="B6" s="234" t="n">
        <x:v>46201.958333333336</x:v>
      </x:c>
      <x:c r="D6" s="127" t="str">
        <x:v>已完成核心</x:v>
      </x:c>
      <x:c r="E6" s="236" t="n">
        <x:f>COUNTIFS('任务清单'!$E$2:$E$41,"核心",'任务清单'!$K$2:$K$41,"已完成")</x:f>
        <x:v>3</x:v>
      </x:c>
      <x:c r="G6" s="127" t="str">
        <x:v>今日完成块数</x:v>
      </x:c>
      <x:c r="H6" s="236" t="n">
        <x:f>COUNTIFS('任务清单'!$A$2:$A$41,TODAY(),'任务清单'!$E$2:$E$41,"核心",'任务清单'!$K$2:$K$41,"已完成")</x:f>
        <x:v>1</x:v>
      </x:c>
    </x:row>
    <x:row r="7">
      <x:c r="A7" s="127" t="str">
        <x:v>Supervisor-ready</x:v>
      </x:c>
      <x:c r="B7" s="234" t="n">
        <x:v>46202.520833333336</x:v>
      </x:c>
      <x:c r="D7" s="127" t="str">
        <x:v>总体加权进度</x:v>
      </x:c>
      <x:c r="E7" s="239" t="n">
        <x:f>IFERROR(SUMIF('任务清单'!$E$2:$E$41,"核心",'任务清单'!$N$2:$N$41)/SUMIF('任务清单'!$E$2:$E$41,"核心",'任务清单'!$J$2:$J$41),0)</x:f>
        <x:v>0.1331420014973796</x:v>
      </x:c>
      <x:c r="G7" s="127" t="str">
        <x:v>今日计划小时</x:v>
      </x:c>
      <x:c r="H7" s="150" t="n">
        <x:f>SUMIFS('任务清单'!$J$2:$J$41,'任务清单'!$A$2:$A$41,TODAY(),'任务清单'!$E$2:$E$41,"核心")</x:f>
        <x:v>8.16</x:v>
      </x:c>
    </x:row>
    <x:row r="8">
      <x:c r="A8" s="127" t="str">
        <x:v>最终缓冲结束</x:v>
      </x:c>
      <x:c r="B8" s="234" t="n">
        <x:v>46203.5</x:v>
      </x:c>
      <x:c r="D8" s="127" t="str">
        <x:v>P0 完成率</x:v>
      </x:c>
      <x:c r="E8" s="236" t="n">
        <x:f>IFERROR(COUNTIFS('任务清单'!$E$2:$E$41,"核心",'任务清单'!$G$2:$G$41,"P0",'任务清单'!$K$2:$K$41,"已完成")/COUNTIFS('任务清单'!$E$2:$E$41,"核心",'任务清单'!$G$2:$G$41,"P0"),0)</x:f>
        <x:v>0.06896551724137931</x:v>
      </x:c>
      <x:c r="G8" s="127" t="str">
        <x:v>今日实际小时</x:v>
      </x:c>
      <x:c r="H8" s="150" t="n">
        <x:f>SUMIFS('任务清单'!$M$2:$M$41,'任务清单'!$A$2:$A$41,TODAY())</x:f>
        <x:v>2.25</x:v>
      </x:c>
    </x:row>
    <x:row r="9">
      <x:c r="A9" s="127" t="str">
        <x:v>距提交整天数</x:v>
      </x:c>
      <x:c r="B9" s="236" t="n">
        <x:f>MAX(0,INT(B7-NOW()))</x:f>
        <x:v>5</x:v>
      </x:c>
      <x:c r="D9" s="127" t="str">
        <x:v>P0 阻塞数</x:v>
      </x:c>
      <x:c r="E9" s="236" t="n">
        <x:f>COUNTIFS('任务清单'!$E$2:$E$41,"核心",'任务清单'!$G$2:$G$41,"P0",'任务清单'!$K$2:$K$41,"阻塞")</x:f>
        <x:v>0</x:v>
      </x:c>
      <x:c r="G9" s="127" t="str">
        <x:v>今日阻塞</x:v>
      </x:c>
      <x:c r="H9" s="236" t="n">
        <x:f>COUNTIFS('任务清单'!$A$2:$A$41,TODAY(),'任务清单'!$K$2:$K$41,"阻塞")</x:f>
        <x:v>0</x:v>
      </x:c>
    </x:row>
    <x:row r="10">
      <x:c r="A10" s="128" t="str">
        <x:v>当前阶段</x:v>
      </x:c>
      <x:c r="B10" s="141" t="str">
        <x:f>IF(NOW()&lt;B6,"内容整合",IF(NOW()&lt;B7,"提交前质检",IF(NOW()&lt;B8,"应急缓冲","已截止")))</x:f>
        <x:v>内容整合</x:v>
      </x:c>
      <x:c r="D10" s="128" t="str">
        <x:v>图片占位符剩余</x:v>
      </x:c>
      <x:c r="E10" s="243" t="n">
        <x:f>IFERROR(LOOKUP(2,1/('每日汇报'!$H$2:$H$9&lt;&gt;""),'每日汇报'!$H$2:$H$9),13)</x:f>
        <x:v>13</x:v>
      </x:c>
      <x:c r="G10" s="128" t="str">
        <x:v>逾期任务</x:v>
      </x:c>
      <x:c r="H10" s="243" t="n">
        <x:f>COUNTIF('任务清单'!$S$2:$S$41,"逾期")</x:f>
        <x:v>2</x:v>
      </x:c>
    </x:row>
    <x:row r="12">
      <x:c r="A12" s="70" t="str">
        <x:v>执行规则（严格遵守）</x:v>
      </x:c>
      <x:c r="B12" s="70"/>
      <x:c r="C12" s="70"/>
      <x:c r="D12" s="70"/>
      <x:c r="E12" s="70"/>
      <x:c r="F12" s="70"/>
      <x:c r="G12" s="70"/>
      <x:c r="H12" s="70"/>
    </x:row>
    <x:row r="13" ht="36" customHeight="1">
      <x:c r="A13" s="168" t="str">
        <x:v>1</x:v>
      </x:c>
      <x:c r="B13" s="169" t="str">
        <x:v>每个工作块开始时，将任务状态改为“进行中”；结束时填写完成度、实际小时和产出/证据。</x:v>
      </x:c>
      <x:c r="C13" s="169" t="str"/>
      <x:c r="D13" s="169" t="str"/>
      <x:c r="E13" s="169" t="str"/>
      <x:c r="F13" s="169" t="str"/>
      <x:c r="G13" s="169" t="str"/>
      <x:c r="H13" s="170" t="str"/>
    </x:row>
    <x:row r="14" ht="36" customHeight="1">
      <x:c r="A14" s="171" t="str">
        <x:v>2</x:v>
      </x:c>
      <x:c r="B14" s="163" t="str">
        <x:v>阻塞超过 20 分钟：记录到“问题清单”，切换到不依赖该阻塞的 P0 任务，不在原地消耗。</x:v>
      </x:c>
      <x:c r="C14" s="163" t="str"/>
      <x:c r="D14" s="163" t="str"/>
      <x:c r="E14" s="163" t="str"/>
      <x:c r="F14" s="163" t="str"/>
      <x:c r="G14" s="163" t="str"/>
      <x:c r="H14" s="172" t="str"/>
    </x:row>
    <x:row r="15" ht="36" customHeight="1">
      <x:c r="A15" s="171" t="str">
        <x:v>3</x:v>
      </x:c>
      <x:c r="B15" s="163" t="str">
        <x:v>每天结束前填写“每日汇报”；第二天第一块首先处理未关闭的 P0 风险。</x:v>
      </x:c>
      <x:c r="C15" s="163" t="str"/>
      <x:c r="D15" s="163" t="str"/>
      <x:c r="E15" s="163" t="str"/>
      <x:c r="F15" s="163" t="str"/>
      <x:c r="G15" s="163" t="str"/>
      <x:c r="H15" s="172" t="str"/>
    </x:row>
    <x:row r="16" ht="36" customHeight="1">
      <x:c r="A16" s="171" t="str">
        <x:v>4</x:v>
      </x:c>
      <x:c r="B16" s="163" t="str">
        <x:v>6 月 28 日 23:00 内容冻结后，只允许修复 P0：事实错误、编译错误、缺图、引用和导师明确反馈。</x:v>
      </x:c>
      <x:c r="C16" s="163" t="str"/>
      <x:c r="D16" s="163" t="str"/>
      <x:c r="E16" s="163" t="str"/>
      <x:c r="F16" s="163" t="str"/>
      <x:c r="G16" s="163" t="str"/>
      <x:c r="H16" s="172" t="str"/>
    </x:row>
    <x:row r="17" ht="36" customHeight="1">
      <x:c r="A17" s="171" t="str">
        <x:v>5</x:v>
      </x:c>
      <x:c r="B17" s="163" t="str">
        <x:v>不新增模型、实验或大规模文献；Paper1/2/3 保持只读，正式修改只进入 thesis 文件。</x:v>
      </x:c>
      <x:c r="C17" s="163" t="str"/>
      <x:c r="D17" s="163" t="str"/>
      <x:c r="E17" s="163" t="str"/>
      <x:c r="F17" s="163" t="str"/>
      <x:c r="G17" s="163" t="str"/>
      <x:c r="H17" s="172" t="str"/>
    </x:row>
    <x:row r="18" ht="36" customHeight="1">
      <x:c r="A18" s="173" t="str">
        <x:v>6</x:v>
      </x:c>
      <x:c r="B18" s="174" t="str">
        <x:v>6 月 27 日保持为真正缓冲；出游取消时最多执行两个 90 分钟块，不启动新章节。</x:v>
      </x:c>
      <x:c r="C18" s="174" t="str"/>
      <x:c r="D18" s="174" t="str"/>
      <x:c r="E18" s="174" t="str"/>
      <x:c r="F18" s="174" t="str"/>
      <x:c r="G18" s="174" t="str"/>
      <x:c r="H18" s="175" t="str"/>
    </x:row>
    <x:row r="20">
      <x:c r="A20" s="70" t="str">
        <x:v>每次向 ChatGPT 汇报模板</x:v>
      </x:c>
      <x:c r="B20" s="70"/>
      <x:c r="C20" s="70"/>
      <x:c r="D20" s="70"/>
      <x:c r="E20" s="70"/>
      <x:c r="F20" s="70"/>
      <x:c r="G20" s="70"/>
      <x:c r="H20" s="70"/>
    </x:row>
    <x:row r="21" ht="26" customHeight="1">
      <x:c r="A21" s="192" t="str">
        <x:v>[日期－工作块编号]</x:v>
      </x:c>
      <x:c r="B21" s="193" t="str"/>
      <x:c r="C21" s="193" t="str"/>
      <x:c r="D21" s="193" t="str"/>
      <x:c r="E21" s="193" t="str"/>
      <x:c r="F21" s="193" t="str"/>
      <x:c r="G21" s="193" t="str"/>
      <x:c r="H21" s="194" t="str"/>
    </x:row>
    <x:row r="22" ht="26" customHeight="1">
      <x:c r="A22" s="195" t="str">
        <x:v>状态：完成 / 部分完成 / 阻塞</x:v>
      </x:c>
      <x:c r="B22" s="187" t="str"/>
      <x:c r="C22" s="187" t="str"/>
      <x:c r="D22" s="187" t="str"/>
      <x:c r="E22" s="187" t="str"/>
      <x:c r="F22" s="187" t="str"/>
      <x:c r="G22" s="187" t="str"/>
      <x:c r="H22" s="196" t="str"/>
    </x:row>
    <x:row r="23" ht="26" customHeight="1">
      <x:c r="A23" s="195" t="str">
        <x:v>产出：修改了哪些 section 或文件</x:v>
      </x:c>
      <x:c r="B23" s="187" t="str"/>
      <x:c r="C23" s="187" t="str"/>
      <x:c r="D23" s="187" t="str"/>
      <x:c r="E23" s="187" t="str"/>
      <x:c r="F23" s="187" t="str"/>
      <x:c r="G23" s="187" t="str"/>
      <x:c r="H23" s="196" t="str"/>
    </x:row>
    <x:row r="24" ht="26" customHeight="1">
      <x:c r="A24" s="195" t="str">
        <x:v>指标：新增词数；已恢复图片数/13；编译 error 和 warning 数</x:v>
      </x:c>
      <x:c r="B24" s="187" t="str"/>
      <x:c r="C24" s="187" t="str"/>
      <x:c r="D24" s="187" t="str"/>
      <x:c r="E24" s="187" t="str"/>
      <x:c r="F24" s="187" t="str"/>
      <x:c r="G24" s="187" t="str"/>
      <x:c r="H24" s="196" t="str"/>
    </x:row>
    <x:row r="25" ht="26" customHeight="1">
      <x:c r="A25" s="195" t="str">
        <x:v>阻塞：最多列 2 个具体问题</x:v>
      </x:c>
      <x:c r="B25" s="187" t="str"/>
      <x:c r="C25" s="187" t="str"/>
      <x:c r="D25" s="187" t="str"/>
      <x:c r="E25" s="187" t="str"/>
      <x:c r="F25" s="187" t="str"/>
      <x:c r="G25" s="187" t="str"/>
      <x:c r="H25" s="196" t="str"/>
    </x:row>
    <x:row r="26" ht="26" customHeight="1">
      <x:c r="A26" s="197" t="str">
        <x:v>下一块：准备执行什么</x:v>
      </x:c>
      <x:c r="B26" s="198" t="str"/>
      <x:c r="C26" s="198" t="str"/>
      <x:c r="D26" s="198" t="str"/>
      <x:c r="E26" s="198" t="str"/>
      <x:c r="F26" s="198" t="str"/>
      <x:c r="G26" s="198" t="str"/>
      <x:c r="H26" s="199" t="str"/>
    </x:row>
    <x:row r="28">
      <x:c r="A28" s="362" t="str">
        <x:v>06/24 中午重排备注</x:v>
      </x:c>
      <x:c r="B28" s="362"/>
      <x:c r="C28" s="362"/>
      <x:c r="D28" s="362"/>
      <x:c r="E28" s="362"/>
      <x:c r="F28" s="362"/>
      <x:c r="G28" s="362"/>
      <x:c r="H28" s="362"/>
    </x:row>
    <x:row r="29">
      <x:c r="A29" s="370" t="str">
        <x:v>状态</x:v>
      </x:c>
      <x:c r="B29" s="371" t="str">
        <x:v>上午工作流重构已完成，15:00 才正式回到论文；Chapter 1 仍待 review。</x:v>
      </x:c>
      <x:c r="C29" s="371" t="str"/>
      <x:c r="D29" s="371" t="str"/>
      <x:c r="E29" s="371" t="str"/>
      <x:c r="F29" s="371" t="str"/>
      <x:c r="G29" s="371" t="str"/>
      <x:c r="H29" s="372" t="str"/>
    </x:row>
    <x:row r="30">
      <x:c r="A30" s="373" t="str">
        <x:v>今日目标</x:v>
      </x:c>
      <x:c r="B30" s="374" t="str">
        <x:v>Chapter 1 验收 + 最小 polish；Chapter 2 文献矩阵 + 开头 600–1,000 词；日终编译与 tracker 更新。</x:v>
      </x:c>
      <x:c r="C30" s="374" t="str"/>
      <x:c r="D30" s="374" t="str"/>
      <x:c r="E30" s="374" t="str"/>
      <x:c r="F30" s="374" t="str"/>
      <x:c r="G30" s="374" t="str"/>
      <x:c r="H30" s="375" t="str"/>
    </x:row>
    <x:row r="31">
      <x:c r="A31" s="376" t="str">
        <x:v>风险</x:v>
      </x:c>
      <x:c r="B31" s="377" t="str">
        <x:v>若 Chapter 1 返工，则今晚 Chapter 2 只保留文献矩阵，不硬写正文。</x:v>
      </x:c>
      <x:c r="C31" s="377" t="str"/>
      <x:c r="D31" s="377" t="str"/>
      <x:c r="E31" s="377" t="str"/>
      <x:c r="F31" s="377" t="str"/>
      <x:c r="G31" s="377" t="str"/>
      <x:c r="H31" s="378" t="str"/>
    </x:row>
  </x:sheetData>
  <x:mergeCells>
    <x:mergeCell ref="A1:H2"/>
    <x:mergeCell ref="A4:B4"/>
    <x:mergeCell ref="D4:E4"/>
    <x:mergeCell ref="G4:H4"/>
    <x:mergeCell ref="A12:H12"/>
    <x:mergeCell ref="B13:H13"/>
    <x:mergeCell ref="B14:H14"/>
    <x:mergeCell ref="B15:H15"/>
    <x:mergeCell ref="B16:H16"/>
    <x:mergeCell ref="B17:H17"/>
    <x:mergeCell ref="B18:H18"/>
    <x:mergeCell ref="A20:H20"/>
    <x:mergeCell ref="A21:H21"/>
    <x:mergeCell ref="A22:H22"/>
    <x:mergeCell ref="A23:H23"/>
    <x:mergeCell ref="A24:H24"/>
    <x:mergeCell ref="A25:H25"/>
    <x:mergeCell ref="A26:H26"/>
    <x:mergeCell ref="A28:H28"/>
    <x:mergeCell ref="B29:H29"/>
    <x:mergeCell ref="B30:H30"/>
    <x:mergeCell ref="B31:H31"/>
  </x:mergeCells>
  <x:conditionalFormatting sqref="E7:E8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{9BFB47AB-F48E-53DF-E161-4C924D031700}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22f100a98e14c1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FB47AB-F48E-53DF-E161-4C924D031700}">
            <x14:dataBar gradient="1">
              <x14:cfvo type="min"/>
              <x14:cfvo type="max"/>
              <x14:fillColor rgb="FF156082"/>
            </x14:dataBar>
          </x14:cfRule>
          <xm:sqref>E7:E8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8" hidden="0" customWidth="1"/>
    <x:col min="4" max="4" width="17" hidden="0" customWidth="1"/>
    <x:col min="5" max="5" width="9" hidden="0" customWidth="1"/>
    <x:col min="6" max="6" width="16" hidden="0" customWidth="1"/>
    <x:col min="7" max="7" width="8" hidden="0" customWidth="1"/>
    <x:col min="8" max="8" width="28" hidden="0" customWidth="1"/>
    <x:col min="9" max="9" width="44" hidden="0" customWidth="1"/>
    <x:col min="10" max="10" width="10" hidden="0" customWidth="1"/>
    <x:col min="11" max="11" width="12" hidden="0" customWidth="1"/>
    <x:col min="12" max="12" width="10" hidden="0" customWidth="1"/>
    <x:col min="13" max="13" width="12" hidden="0" customWidth="1"/>
    <x:col min="14" max="14" width="12" hidden="0" customWidth="1"/>
    <x:col min="15" max="15" width="30" hidden="0" customWidth="1"/>
    <x:col min="16" max="16" width="28" hidden="0" customWidth="1"/>
    <x:col min="17" max="17" width="28" hidden="0" customWidth="1"/>
    <x:col min="18" max="18" width="24" hidden="0" customWidth="1"/>
    <x:col min="19" max="19" width="9" hidden="0" customWidth="1"/>
  </x:cols>
  <x:sheetData>
    <x:row r="1" ht="34" customHeight="1">
      <x:c r="A1" s="256" t="str">
        <x:v>日期</x:v>
      </x:c>
      <x:c r="B1" s="256" t="str">
        <x:v>星期</x:v>
      </x:c>
      <x:c r="C1" s="256" t="str">
        <x:v>编号</x:v>
      </x:c>
      <x:c r="D1" s="256" t="str">
        <x:v>时段</x:v>
      </x:c>
      <x:c r="E1" s="256" t="str">
        <x:v>类型</x:v>
      </x:c>
      <x:c r="F1" s="256" t="str">
        <x:v>模块</x:v>
      </x:c>
      <x:c r="G1" s="256" t="str">
        <x:v>优先级</x:v>
      </x:c>
      <x:c r="H1" s="256" t="str">
        <x:v>任务</x:v>
      </x:c>
      <x:c r="I1" s="256" t="str">
        <x:v>完成标准</x:v>
      </x:c>
      <x:c r="J1" s="256" t="str">
        <x:v>计划小时</x:v>
      </x:c>
      <x:c r="K1" s="256" t="str">
        <x:v>状态</x:v>
      </x:c>
      <x:c r="L1" s="256" t="str">
        <x:v>完成度</x:v>
      </x:c>
      <x:c r="M1" s="256" t="str">
        <x:v>实际小时</x:v>
      </x:c>
      <x:c r="N1" s="256" t="str">
        <x:v>加权完成小时</x:v>
      </x:c>
      <x:c r="O1" s="256" t="str">
        <x:v>产出/证据</x:v>
      </x:c>
      <x:c r="P1" s="256" t="str">
        <x:v>阻塞</x:v>
      </x:c>
      <x:c r="Q1" s="256" t="str">
        <x:v>下一步</x:v>
      </x:c>
      <x:c r="R1" s="256" t="str">
        <x:v>备注</x:v>
      </x:c>
      <x:c r="S1" s="256" t="str">
        <x:v>时效</x:v>
      </x:c>
    </x:row>
    <x:row r="2">
      <x:c r="A2" s="244" t="n">
        <x:v>46196</x:v>
      </x:c>
      <x:c r="B2" s="17" t="str">
        <x:v>周二</x:v>
      </x:c>
      <x:c r="C2" s="17" t="str">
        <x:v>T1</x:v>
      </x:c>
      <x:c r="D2" s="17" t="str">
        <x:v>19:00–19:35</x:v>
      </x:c>
      <x:c r="E2" s="17" t="str">
        <x:v>核心</x:v>
      </x:c>
      <x:c r="F2" s="17" t="str">
        <x:v>构建与基线</x:v>
      </x:c>
      <x:c r="G2" s="17" t="str">
        <x:v>P0</x:v>
      </x:c>
      <x:c r="H2" s="17" t="str">
        <x:v>建立安全基线</x:v>
      </x:c>
      <x:c r="I2" s="17" t="str">
        <x:v>备份仓库、建立 integration 分支、完成 baseline build，并记录错误/警告/缺失文件。</x:v>
      </x:c>
      <x:c r="J2" s="38" t="n">
        <x:v>0.58</x:v>
      </x:c>
      <x:c r="K2" s="17" t="str">
        <x:v>延期</x:v>
      </x:c>
      <x:c r="L2" s="44" t="n">
        <x:v>0.5</x:v>
      </x:c>
      <x:c r="M2" s="38" t="n">
        <x:v>0.35</x:v>
      </x:c>
      <x:c r="N2" s="38" t="n">
        <x:f>J2*L2</x:f>
        <x:v>0.29</x:v>
      </x:c>
      <x:c r="O2" s="17" t="str">
        <x:v>安全基线/最终 build 状态待 06/24 验收；今晚不再检查 Codex final output。</x:v>
      </x:c>
      <x:c r="P2" s="17" t="str">
        <x:v>Codex final writing output and final build status 未检查。</x:v>
      </x:c>
      <x:c r="Q2" s="17" t="str">
        <x:v>06/24 第一块只看 Codex report：files changed、citation plan、undefined citations、word count、build status。</x:v>
      </x:c>
      <x:c r="R2" s="17" t="str">
        <x:v>不标完成，避免把未验收 build 计入完成。</x:v>
      </x:c>
      <x:c r="S2" s="18" t="str">
        <x:f>IF(OR(K2="已完成",K2="取消/不需要"),"",IF(A2&lt;TODAY(),"逾期",IF(A2=TODAY(),"今日","待办")))</x:f>
        <x:v>逾期</x:v>
      </x:c>
    </x:row>
    <x:row r="3">
      <x:c r="A3" s="245" t="n">
        <x:v>46196</x:v>
      </x:c>
      <x:c r="B3" s="14" t="str">
        <x:v>周二</x:v>
      </x:c>
      <x:c r="C3" s="14" t="str">
        <x:v>T2</x:v>
      </x:c>
      <x:c r="D3" s="14" t="str">
        <x:v>19:35–20:50</x:v>
      </x:c>
      <x:c r="E3" s="14" t="str">
        <x:v>核心</x:v>
      </x:c>
      <x:c r="F3" s="14" t="str">
        <x:v>论文主线</x:v>
      </x:c>
      <x:c r="G3" s="14" t="str">
        <x:v>P0</x:v>
      </x:c>
      <x:c r="H3" s="14" t="str">
        <x:v>冻结 thesis spine</x:v>
      </x:c>
      <x:c r="I3" s="14" t="str">
        <x:v>形成中央问题、RQ1–RQ3、三章递进关系、研究范围和三项主要贡献的一页说明。</x:v>
      </x:c>
      <x:c r="J3" s="39" t="n">
        <x:v>1.25</x:v>
      </x:c>
      <x:c r="K3" s="14" t="str">
        <x:v>已完成</x:v>
      </x:c>
      <x:c r="L3" s="45" t="n">
        <x:v>1</x:v>
      </x:c>
      <x:c r="M3" s="39" t="n">
        <x:v>1.25</x:v>
      </x:c>
      <x:c r="N3" s="39" t="n">
        <x:f>J3*L3</x:f>
        <x:v>1.25</x:v>
      </x:c>
      <x:c r="O3" s="14" t="str">
        <x:v>thesis spine completed and frozen；已明确 Ch3 methodological foundation、Ch4 operational pillar、Ch5 synthesis。</x:v>
      </x:c>
      <x:c r="P3" s="14" t="str"/>
      <x:c r="Q3" s="14" t="str">
        <x:v>后续所有章节按 frozen spine 审查，不再重开主线。</x:v>
      </x:c>
      <x:c r="R3" s="14" t="str">
        <x:v>Citation verification rule updated: PDF-first, metadata only for screening.</x:v>
      </x:c>
      <x:c r="S3" s="20" t="str">
        <x:f>IF(OR(K3="已完成",K3="取消/不需要"),"",IF(A3&lt;TODAY(),"逾期",IF(A3=TODAY(),"今日","待办")))</x:f>
      </x:c>
    </x:row>
    <x:row r="4">
      <x:c r="A4" s="245" t="n">
        <x:v>46196</x:v>
      </x:c>
      <x:c r="B4" s="14" t="str">
        <x:v>周二</x:v>
      </x:c>
      <x:c r="C4" s="14" t="str">
        <x:v>T3</x:v>
      </x:c>
      <x:c r="D4" s="14" t="str">
        <x:v>21:05–22:15</x:v>
      </x:c>
      <x:c r="E4" s="14" t="str">
        <x:v>核心</x:v>
      </x:c>
      <x:c r="F4" s="14" t="str">
        <x:v>Chapter 1</x:v>
      </x:c>
      <x:c r="G4" s="14" t="str">
        <x:v>P0</x:v>
      </x:c>
      <x:c r="H4" s="14" t="str">
        <x:v>建立 Chapter 1 骨架</x:v>
      </x:c>
      <x:c r="I4" s="14" t="str">
        <x:v>建立六个实质性 section；将三篇 Introduction 的可用材料映射到各节。</x:v>
      </x:c>
      <x:c r="J4" s="39" t="n">
        <x:v>1.17</x:v>
      </x:c>
      <x:c r="K4" s="14" t="str">
        <x:v>已完成</x:v>
      </x:c>
      <x:c r="L4" s="45" t="n">
        <x:v>1</x:v>
      </x:c>
      <x:c r="M4" s="39" t="n">
        <x:v>1.17</x:v>
      </x:c>
      <x:c r="N4" s="39" t="n">
        <x:f>J4*L4</x:f>
        <x:v>1.17</x:v>
      </x:c>
      <x:c r="O4" s="14" t="str">
        <x:v>Chapter 1 six-section skeleton completed；三篇 Introduction 的材料入口已确定。</x:v>
      </x:c>
      <x:c r="P4" s="14" t="str"/>
      <x:c r="Q4" s="14" t="str">
        <x:v>06/24 根据 Codex 输出决定：继续 Chapter 1 polish 或进入 Chapter 2。</x:v>
      </x:c>
      <x:c r="R4" s="14" t="str">
        <x:v>骨架完成，正文质量待 Codex 输出验收。</x:v>
      </x:c>
      <x:c r="S4" s="20" t="str">
        <x:f>IF(OR(K4="已完成",K4="取消/不需要"),"",IF(A4&lt;TODAY(),"逾期",IF(A4=TODAY(),"今日","待办")))</x:f>
      </x:c>
    </x:row>
    <x:row r="5">
      <x:c r="A5" s="245" t="n">
        <x:v>46196</x:v>
      </x:c>
      <x:c r="B5" s="14" t="str">
        <x:v>周二</x:v>
      </x:c>
      <x:c r="C5" s="14" t="str">
        <x:v>T4</x:v>
      </x:c>
      <x:c r="D5" s="14" t="str">
        <x:v>22:15–23:00</x:v>
      </x:c>
      <x:c r="E5" s="14" t="str">
        <x:v>核心</x:v>
      </x:c>
      <x:c r="F5" s="14" t="str">
        <x:v>Chapter 1</x:v>
      </x:c>
      <x:c r="G5" s="14" t="str">
        <x:v>P0</x:v>
      </x:c>
      <x:c r="H5" s="14" t="str">
        <x:v>开始 Chapter 1 正文</x:v>
      </x:c>
      <x:c r="I5" s="14" t="str">
        <x:v>完成 Background 与 practical context 700–1,000 词；编译并 commit。</x:v>
      </x:c>
      <x:c r="J5" s="39" t="n">
        <x:v>0.75</x:v>
      </x:c>
      <x:c r="K5" s="14" t="str">
        <x:v>进行中</x:v>
      </x:c>
      <x:c r="L5" s="45" t="n">
        <x:v>0.5</x:v>
      </x:c>
      <x:c r="M5" s="39" t="n">
        <x:v>1.05</x:v>
      </x:c>
      <x:c r="N5" s="39" t="n">
        <x:f>J5*L5</x:f>
        <x:v>0.375</x:v>
      </x:c>
      <x:c r="O5" s="14" t="str">
        <x:v>Zotero-assisted Chapter 1 Introduction drafting delegated to Codex；已要求 PDF-first citation verification。</x:v>
      </x:c>
      <x:c r="P5" s="14" t="str">
        <x:v>Codex final writing output 未检查；Chapter 1 word count、undefined citations、build status 待验收。</x:v>
      </x:c>
      <x:c r="Q5" s="14" t="str">
        <x:v>06/24 review Codex report only, not 全文重写；之后再决定 polish/Chapter 2。</x:v>
      </x:c>
      <x:c r="R5" s="14" t="str">
        <x:v>不标完成，等待人工验收与 build 结果。</x:v>
      </x:c>
      <x:c r="S5" s="20" t="str">
        <x:f>IF(OR(K5="已完成",K5="取消/不需要"),"",IF(A5&lt;TODAY(),"逾期",IF(A5=TODAY(),"今日","待办")))</x:f>
        <x:v>逾期</x:v>
      </x:c>
    </x:row>
    <x:row r="6">
      <x:c r="A6" s="399" t="n">
        <x:v>46197</x:v>
      </x:c>
      <x:c r="B6" s="400" t="str">
        <x:v>周三</x:v>
      </x:c>
      <x:c r="C6" s="400" t="str">
        <x:v>W1</x:v>
      </x:c>
      <x:c r="D6" s="400" t="str">
        <x:v>09:45–12:00</x:v>
      </x:c>
      <x:c r="E6" s="400" t="str">
        <x:v>核心</x:v>
      </x:c>
      <x:c r="F6" s="400" t="str">
        <x:v>工作流同步</x:v>
      </x:c>
      <x:c r="G6" s="400" t="str">
        <x:v>P1</x:v>
      </x:c>
      <x:c r="H6" s="400" t="str">
        <x:v>工作流重构与 tracker 初始化准备</x:v>
      </x:c>
      <x:c r="I6" s="400" t="str">
        <x:v>完成 Project/Codex/tracker 同步方案；准备新的 tracker xlsx 供 Codex 初始化；不进入正文重写。</x:v>
      </x:c>
      <x:c r="J6" s="401" t="n">
        <x:v>2.25</x:v>
      </x:c>
      <x:c r="K6" s="400" t="str">
        <x:v>已完成</x:v>
      </x:c>
      <x:c r="L6" s="402" t="n">
        <x:v>1</x:v>
      </x:c>
      <x:c r="M6" s="401" t="n">
        <x:v>2.25</x:v>
      </x:c>
      <x:c r="N6" s="401" t="n">
        <x:f>J6*L6</x:f>
        <x:v>2.25</x:v>
      </x:c>
      <x:c r="O6" s="400" t="str">
        <x:v>完成 ChatGPT Project / Codex / tracker 工作流重排；明确 repo-based source of truth；准备新的 xlsx 给 Codex 初始化。</x:v>
      </x:c>
      <x:c r="P6" s="400" t="str"/>
      <x:c r="Q6" s="400" t="str">
        <x:v>15:00 开始回到论文：先验收 Chapter 1 Codex 输出。</x:v>
      </x:c>
      <x:c r="R6" s="400" t="str">
        <x:v>上午工作流占用原写作计划；已冻结，不继续扩大工作流范围。</x:v>
      </x:c>
      <x:c r="S6" s="403" t="str">
        <x:f>IF(OR(K6="已完成",K6="取消/不需要"),"",IF(A6&lt;TODAY(),"逾期",IF(A6=TODAY(),"今日","待办")))</x:f>
      </x:c>
    </x:row>
    <x:row r="7">
      <x:c r="A7" s="404" t="n">
        <x:v>46197</x:v>
      </x:c>
      <x:c r="B7" s="289" t="str">
        <x:v>周三</x:v>
      </x:c>
      <x:c r="C7" s="289" t="str">
        <x:v>W2</x:v>
      </x:c>
      <x:c r="D7" s="289" t="str">
        <x:v>15:00–15:20</x:v>
      </x:c>
      <x:c r="E7" s="289" t="str">
        <x:v>核心</x:v>
      </x:c>
      <x:c r="F7" s="289" t="str">
        <x:v>Chapter 1 验收</x:v>
      </x:c>
      <x:c r="G7" s="289" t="str">
        <x:v>P0</x:v>
      </x:c>
      <x:c r="H7" s="289" t="str">
        <x:v>快速读取 Codex report</x:v>
      </x:c>
      <x:c r="I7" s="289" t="str">
        <x:v>只确认 files changed、Chapter 1 word count、citation plan、undefined citations/references、build status。</x:v>
      </x:c>
      <x:c r="J7" s="338" t="n">
        <x:v>0.33</x:v>
      </x:c>
      <x:c r="K7" s="289" t="str">
        <x:v>未开始</x:v>
      </x:c>
      <x:c r="L7" s="339" t="n">
        <x:v>0</x:v>
      </x:c>
      <x:c r="M7" s="338"/>
      <x:c r="N7" s="338" t="n">
        <x:f>J7*L7</x:f>
        <x:v>0</x:v>
      </x:c>
      <x:c r="O7" s="289" t="str"/>
      <x:c r="P7" s="289" t="str">
        <x:v>Chapter 1 已写完但尚未 review；build status 未确认。</x:v>
      </x:c>
      <x:c r="Q7" s="289" t="str">
        <x:v>给出 Codex 输出：通过 / 小修 / 返工 的初步判断。</x:v>
      </x:c>
      <x:c r="R7" s="289" t="str">
        <x:v>15:00 准时开始；不要全文重写。</x:v>
      </x:c>
      <x:c r="S7" s="405" t="str">
        <x:f>IF(OR(K7="已完成",K7="取消/不需要"),"",IF(A7&lt;TODAY(),"逾期",IF(A7=TODAY(),"今日","待办")))</x:f>
        <x:v>今日</x:v>
      </x:c>
    </x:row>
    <x:row r="8">
      <x:c r="A8" s="404" t="n">
        <x:v>46197</x:v>
      </x:c>
      <x:c r="B8" s="289" t="str">
        <x:v>周三</x:v>
      </x:c>
      <x:c r="C8" s="289" t="str">
        <x:v>W3</x:v>
      </x:c>
      <x:c r="D8" s="289" t="str">
        <x:v>15:20–16:30</x:v>
      </x:c>
      <x:c r="E8" s="289" t="str">
        <x:v>核心</x:v>
      </x:c>
      <x:c r="F8" s="289" t="str">
        <x:v>Chapter 1 验收</x:v>
      </x:c>
      <x:c r="G8" s="289" t="str">
        <x:v>P0</x:v>
      </x:c>
      <x:c r="H8" s="289" t="str">
        <x:v>验收 Chapter 1 Codex 输出</x:v>
      </x:c>
      <x:c r="I8" s="289" t="str">
        <x:v>检查是否符合 thesis spine、六节结构、RQ1–RQ3、citation plan；清除明显 this paper/novelty overclaim/AI 式结构问题。</x:v>
      </x:c>
      <x:c r="J8" s="338" t="n">
        <x:v>1.17</x:v>
      </x:c>
      <x:c r="K8" s="289" t="str">
        <x:v>未开始</x:v>
      </x:c>
      <x:c r="L8" s="339" t="n">
        <x:v>0</x:v>
      </x:c>
      <x:c r="M8" s="338"/>
      <x:c r="N8" s="338" t="n">
        <x:f>J8*L8</x:f>
        <x:v>0</x:v>
      </x:c>
      <x:c r="O8" s="289" t="str"/>
      <x:c r="P8" s="289" t="str"/>
      <x:c r="Q8" s="289" t="str">
        <x:v>判定 Chapter 1：可接受 / 需小修 / 需返工。</x:v>
      </x:c>
      <x:c r="R8" s="289" t="str">
        <x:v>验收优先于润色；不逐句打磨。</x:v>
      </x:c>
      <x:c r="S8" s="405" t="str">
        <x:f>IF(OR(K8="已完成",K8="取消/不需要"),"",IF(A8&lt;TODAY(),"逾期",IF(A8=TODAY(),"今日","待办")))</x:f>
        <x:v>今日</x:v>
      </x:c>
    </x:row>
    <x:row r="9">
      <x:c r="A9" s="404" t="n">
        <x:v>46197</x:v>
      </x:c>
      <x:c r="B9" s="289" t="str">
        <x:v>周三</x:v>
      </x:c>
      <x:c r="C9" s="289" t="str">
        <x:v>W4</x:v>
      </x:c>
      <x:c r="D9" s="289" t="str">
        <x:v>16:30–17:20</x:v>
      </x:c>
      <x:c r="E9" s="289" t="str">
        <x:v>核心</x:v>
      </x:c>
      <x:c r="F9" s="289" t="str">
        <x:v>Chapter 1</x:v>
      </x:c>
      <x:c r="G9" s="289" t="str">
        <x:v>P0</x:v>
      </x:c>
      <x:c r="H9" s="289" t="str">
        <x:v>Chapter 1 最小 polish 或返工 prompt</x:v>
      </x:c>
      <x:c r="I9" s="289" t="str">
        <x:v>若输出可接受，只修 thesis-spine 偏离、重复、citation 不自然和明显 AI 味；若偏离大，生成 Codex 返工 prompt。</x:v>
      </x:c>
      <x:c r="J9" s="338" t="n">
        <x:v>0.83</x:v>
      </x:c>
      <x:c r="K9" s="289" t="str">
        <x:v>未开始</x:v>
      </x:c>
      <x:c r="L9" s="339" t="n">
        <x:v>0</x:v>
      </x:c>
      <x:c r="M9" s="338"/>
      <x:c r="N9" s="338" t="n">
        <x:f>J9*L9</x:f>
        <x:v>0</x:v>
      </x:c>
      <x:c r="O9" s="289" t="str"/>
      <x:c r="P9" s="289" t="str"/>
      <x:c r="Q9" s="289" t="str">
        <x:v>让 Chapter 1 进入可接受初稿，或启动明确返工任务。</x:v>
      </x:c>
      <x:c r="R9" s="289" t="str">
        <x:v>只做最小必要修改，不扩大到全文重写。</x:v>
      </x:c>
      <x:c r="S9" s="405" t="str">
        <x:f>IF(OR(K9="已完成",K9="取消/不需要"),"",IF(A9&lt;TODAY(),"逾期",IF(A9=TODAY(),"今日","待办")))</x:f>
        <x:v>今日</x:v>
      </x:c>
    </x:row>
    <x:row r="10">
      <x:c r="A10" s="404" t="n">
        <x:v>46197</x:v>
      </x:c>
      <x:c r="B10" s="289" t="str">
        <x:v>周三</x:v>
      </x:c>
      <x:c r="C10" s="289" t="str">
        <x:v>W5</x:v>
      </x:c>
      <x:c r="D10" s="289" t="str">
        <x:v>17:20–17:40</x:v>
      </x:c>
      <x:c r="E10" s="289" t="str">
        <x:v>核心</x:v>
      </x:c>
      <x:c r="F10" s="289" t="str">
        <x:v>编译与记录</x:v>
      </x:c>
      <x:c r="G10" s="289" t="str">
        <x:v>P0</x:v>
      </x:c>
      <x:c r="H10" s="289" t="str">
        <x:v>Chapter 1 编译与状态记录</x:v>
      </x:c>
      <x:c r="I10" s="289" t="str">
        <x:v>运行或验收一次编译；记录 Chapter 1 status、word count、errors、undefined citations/references、remaining TODO。</x:v>
      </x:c>
      <x:c r="J10" s="338" t="n">
        <x:v>0.33</x:v>
      </x:c>
      <x:c r="K10" s="289" t="str">
        <x:v>未开始</x:v>
      </x:c>
      <x:c r="L10" s="339" t="n">
        <x:v>0</x:v>
      </x:c>
      <x:c r="M10" s="338"/>
      <x:c r="N10" s="338" t="n">
        <x:f>J10*L10</x:f>
        <x:v>0</x:v>
      </x:c>
      <x:c r="O10" s="289" t="str"/>
      <x:c r="P10" s="289" t="str"/>
      <x:c r="Q10" s="289" t="str">
        <x:v>如果 Chapter 1 通过，晚上进入 Chapter 2；若不通过，明确返工阻塞。</x:v>
      </x:c>
      <x:c r="R10" s="289" t="str">
        <x:v>17:40 后吃饭/休息/简单活动，不继续硬拖。</x:v>
      </x:c>
      <x:c r="S10" s="405" t="str">
        <x:f>IF(OR(K10="已完成",K10="取消/不需要"),"",IF(A10&lt;TODAY(),"逾期",IF(A10=TODAY(),"今日","待办")))</x:f>
        <x:v>今日</x:v>
      </x:c>
    </x:row>
    <x:row r="11">
      <x:c r="A11" s="404" t="n">
        <x:v>46197</x:v>
      </x:c>
      <x:c r="B11" s="289" t="str">
        <x:v>周三</x:v>
      </x:c>
      <x:c r="C11" s="289" t="str">
        <x:v>W6</x:v>
      </x:c>
      <x:c r="D11" s="289" t="str">
        <x:v>19:00–20:30</x:v>
      </x:c>
      <x:c r="E11" s="289" t="str">
        <x:v>核心</x:v>
      </x:c>
      <x:c r="F11" s="289" t="str">
        <x:v>Chapter 2</x:v>
      </x:c>
      <x:c r="G11" s="289" t="str">
        <x:v>P0</x:v>
      </x:c>
      <x:c r="H11" s="289" t="str">
        <x:v>建立 Chapter 2 文献矩阵</x:v>
      </x:c>
      <x:c r="I11" s="289" t="str">
        <x:v>按 Theme / Existing literature / Limitation / Thesis response 整理 static BRP、UDF/EUDF、broken bikes、on-site repair、CFRS/decomposition。</x:v>
      </x:c>
      <x:c r="J11" s="338" t="n">
        <x:v>1.5</x:v>
      </x:c>
      <x:c r="K11" s="289" t="str">
        <x:v>未开始</x:v>
      </x:c>
      <x:c r="L11" s="339" t="n">
        <x:v>0</x:v>
      </x:c>
      <x:c r="M11" s="338"/>
      <x:c r="N11" s="338" t="n">
        <x:f>J11*L11</x:f>
        <x:v>0</x:v>
      </x:c>
      <x:c r="O11" s="289" t="str"/>
      <x:c r="P11" s="289" t="str"/>
      <x:c r="Q11" s="289" t="str">
        <x:v>Chapter 2 每一节知道写什么，不再是空白大纲。</x:v>
      </x:c>
      <x:c r="R11" s="289" t="str">
        <x:v>今天只要求启动 Chapter 2，不追求完成前半。</x:v>
      </x:c>
      <x:c r="S11" s="405" t="str">
        <x:f>IF(OR(K11="已完成",K11="取消/不需要"),"",IF(A11&lt;TODAY(),"逾期",IF(A11=TODAY(),"今日","待办")))</x:f>
        <x:v>今日</x:v>
      </x:c>
    </x:row>
    <x:row r="12">
      <x:c r="A12" s="406" t="n">
        <x:v>46197</x:v>
      </x:c>
      <x:c r="B12" s="407" t="str">
        <x:v>周三</x:v>
      </x:c>
      <x:c r="C12" s="407" t="str">
        <x:v>W7</x:v>
      </x:c>
      <x:c r="D12" s="407" t="str">
        <x:v>20:45–22:30</x:v>
      </x:c>
      <x:c r="E12" s="407" t="str">
        <x:v>核心</x:v>
      </x:c>
      <x:c r="F12" s="407" t="str">
        <x:v>Chapter 2 + 日终</x:v>
      </x:c>
      <x:c r="G12" s="407" t="str">
        <x:v>P0</x:v>
      </x:c>
      <x:c r="H12" s="407" t="str">
        <x:v>写 Chapter 2 开头并日终检查</x:v>
      </x:c>
      <x:c r="I12" s="407" t="str">
        <x:v>完成 Literature Review 开场、static BRP overview、service-level/UDF/EUDF 开头 600–1,000 词；随后编译、更新 tracker 和日终汇报。</x:v>
      </x:c>
      <x:c r="J12" s="408" t="n">
        <x:v>1.75</x:v>
      </x:c>
      <x:c r="K12" s="407" t="str">
        <x:v>未开始</x:v>
      </x:c>
      <x:c r="L12" s="409" t="n">
        <x:v>0</x:v>
      </x:c>
      <x:c r="M12" s="408"/>
      <x:c r="N12" s="408" t="n">
        <x:f>J12*L12</x:f>
        <x:v>0</x:v>
      </x:c>
      <x:c r="O12" s="407" t="str"/>
      <x:c r="P12" s="407" t="str"/>
      <x:c r="Q12" s="407" t="str">
        <x:v>发出 06/24 日终汇报：Chapter 1 status、Chapter 2 status、build、citations、下一步。</x:v>
      </x:c>
      <x:c r="R12" s="407" t="str">
        <x:v>22:30 后只允许轻微收尾；不超过 23:15。</x:v>
      </x:c>
      <x:c r="S12" s="410" t="str">
        <x:f>IF(OR(K12="已完成",K12="取消/不需要"),"",IF(A12&lt;TODAY(),"逾期",IF(A12=TODAY(),"今日","待办")))</x:f>
        <x:v>今日</x:v>
      </x:c>
    </x:row>
    <x:row r="13">
      <x:c r="A13" s="245" t="n">
        <x:v>46198</x:v>
      </x:c>
      <x:c r="B13" s="14" t="str">
        <x:v>周四</x:v>
      </x:c>
      <x:c r="C13" s="14" t="str">
        <x:v>H1</x:v>
      </x:c>
      <x:c r="D13" s="14" t="str">
        <x:v>09:45–12:00</x:v>
      </x:c>
      <x:c r="E13" s="14" t="str">
        <x:v>核心</x:v>
      </x:c>
      <x:c r="F13" s="14" t="str">
        <x:v>Chapter 2</x:v>
      </x:c>
      <x:c r="G13" s="14" t="str">
        <x:v>P0</x:v>
      </x:c>
      <x:c r="H13" s="14" t="str">
        <x:v>写服务质量文献</x:v>
      </x:c>
      <x:c r="I13" s="14" t="str">
        <x:v>完成 UDF、EUDF、target-deviation measures 以及一维到二维库存状态的关系。</x:v>
      </x:c>
      <x:c r="J13" s="39" t="n">
        <x:v>2.25</x:v>
      </x:c>
      <x:c r="K13" s="14" t="str">
        <x:v>未开始</x:v>
      </x:c>
      <x:c r="L13" s="45" t="n">
        <x:v>0</x:v>
      </x:c>
      <x:c r="M13" s="39"/>
      <x:c r="N13" s="39" t="n">
        <x:f>J13*L13</x:f>
        <x:v>0</x:v>
      </x:c>
      <x:c r="O13" s="14" t="str"/>
      <x:c r="P13" s="14" t="str"/>
      <x:c r="Q13" s="14" t="str"/>
      <x:c r="R13" s="14" t="str"/>
      <x:c r="S13" s="20" t="str">
        <x:f>IF(OR(K13="已完成",K13="取消/不需要"),"",IF(A13&lt;TODAY(),"逾期",IF(A13=TODAY(),"今日","待办")))</x:f>
        <x:v>待办</x:v>
      </x:c>
    </x:row>
    <x:row r="14">
      <x:c r="A14" s="245" t="n">
        <x:v>46198</x:v>
      </x:c>
      <x:c r="B14" s="14" t="str">
        <x:v>周四</x:v>
      </x:c>
      <x:c r="C14" s="14" t="str">
        <x:v>H2</x:v>
      </x:c>
      <x:c r="D14" s="14" t="str">
        <x:v>12:45–13:35</x:v>
      </x:c>
      <x:c r="E14" s="14" t="str">
        <x:v>核心</x:v>
      </x:c>
      <x:c r="F14" s="14" t="str">
        <x:v>Chapter 2</x:v>
      </x:c>
      <x:c r="G14" s="14" t="str">
        <x:v>P0</x:v>
      </x:c>
      <x:c r="H14" s="14" t="str">
        <x:v>写维修相关文献</x:v>
      </x:c>
      <x:c r="I14" s="14" t="str">
        <x:v>完成 broken-bike collection、off-site maintenance、on-site repair，并连接 Chapter 4 gap。</x:v>
      </x:c>
      <x:c r="J14" s="39" t="n">
        <x:v>0.83</x:v>
      </x:c>
      <x:c r="K14" s="14" t="str">
        <x:v>未开始</x:v>
      </x:c>
      <x:c r="L14" s="45" t="n">
        <x:v>0</x:v>
      </x:c>
      <x:c r="M14" s="39"/>
      <x:c r="N14" s="39" t="n">
        <x:f>J14*L14</x:f>
        <x:v>0</x:v>
      </x:c>
      <x:c r="O14" s="14" t="str"/>
      <x:c r="P14" s="14" t="str"/>
      <x:c r="Q14" s="14" t="str"/>
      <x:c r="R14" s="14" t="str"/>
      <x:c r="S14" s="20" t="str">
        <x:f>IF(OR(K14="已完成",K14="取消/不需要"),"",IF(A14&lt;TODAY(),"逾期",IF(A14=TODAY(),"今日","待办")))</x:f>
        <x:v>待办</x:v>
      </x:c>
    </x:row>
    <x:row r="15">
      <x:c r="A15" s="245" t="n">
        <x:v>46198</x:v>
      </x:c>
      <x:c r="B15" s="14" t="str">
        <x:v>周四</x:v>
      </x:c>
      <x:c r="C15" s="14" t="str">
        <x:v>H3</x:v>
      </x:c>
      <x:c r="D15" s="14" t="str">
        <x:v>19:00–21:00</x:v>
      </x:c>
      <x:c r="E15" s="14" t="str">
        <x:v>核心</x:v>
      </x:c>
      <x:c r="F15" s="14" t="str">
        <x:v>Chapter 2</x:v>
      </x:c>
      <x:c r="G15" s="14" t="str">
        <x:v>P0</x:v>
      </x:c>
      <x:c r="H15" s="14" t="str">
        <x:v>写 CFRS 综合综述</x:v>
      </x:c>
      <x:c r="I15" s="14" t="str">
        <x:v>按 clustering criterion、vehicle–cluster relationship、routing interface 分类综述。</x:v>
      </x:c>
      <x:c r="J15" s="39" t="n">
        <x:v>2</x:v>
      </x:c>
      <x:c r="K15" s="14" t="str">
        <x:v>未开始</x:v>
      </x:c>
      <x:c r="L15" s="45" t="n">
        <x:v>0</x:v>
      </x:c>
      <x:c r="M15" s="39"/>
      <x:c r="N15" s="39" t="n">
        <x:f>J15*L15</x:f>
        <x:v>0</x:v>
      </x:c>
      <x:c r="O15" s="14" t="str"/>
      <x:c r="P15" s="14" t="str"/>
      <x:c r="Q15" s="14" t="str"/>
      <x:c r="R15" s="14" t="str"/>
      <x:c r="S15" s="20" t="str">
        <x:f>IF(OR(K15="已完成",K15="取消/不需要"),"",IF(A15&lt;TODAY(),"逾期",IF(A15=TODAY(),"今日","待办")))</x:f>
        <x:v>待办</x:v>
      </x:c>
    </x:row>
    <x:row r="16">
      <x:c r="A16" s="245" t="n">
        <x:v>46198</x:v>
      </x:c>
      <x:c r="B16" s="14" t="str">
        <x:v>周四</x:v>
      </x:c>
      <x:c r="C16" s="14" t="str">
        <x:v>H4</x:v>
      </x:c>
      <x:c r="D16" s="14" t="str">
        <x:v>21:15–22:30</x:v>
      </x:c>
      <x:c r="E16" s="14" t="str">
        <x:v>核心</x:v>
      </x:c>
      <x:c r="F16" s="14" t="str">
        <x:v>Chapter 2</x:v>
      </x:c>
      <x:c r="G16" s="14" t="str">
        <x:v>P0</x:v>
      </x:c>
      <x:c r="H16" s="14" t="str">
        <x:v>写综合 research gap</x:v>
      </x:c>
      <x:c r="I16" s="14" t="str">
        <x:v>每个 gap 映射到 RQ、Chapter 与 contribution；形成完整闭环。</x:v>
      </x:c>
      <x:c r="J16" s="39" t="n">
        <x:v>1.25</x:v>
      </x:c>
      <x:c r="K16" s="14" t="str">
        <x:v>未开始</x:v>
      </x:c>
      <x:c r="L16" s="45" t="n">
        <x:v>0</x:v>
      </x:c>
      <x:c r="M16" s="39"/>
      <x:c r="N16" s="39" t="n">
        <x:f>J16*L16</x:f>
        <x:v>0</x:v>
      </x:c>
      <x:c r="O16" s="14" t="str"/>
      <x:c r="P16" s="14" t="str"/>
      <x:c r="Q16" s="14" t="str"/>
      <x:c r="R16" s="14" t="str"/>
      <x:c r="S16" s="20" t="str">
        <x:f>IF(OR(K16="已完成",K16="取消/不需要"),"",IF(A16&lt;TODAY(),"逾期",IF(A16=TODAY(),"今日","待办")))</x:f>
        <x:v>待办</x:v>
      </x:c>
    </x:row>
    <x:row r="17">
      <x:c r="A17" s="245" t="n">
        <x:v>46198</x:v>
      </x:c>
      <x:c r="B17" s="14" t="str">
        <x:v>周四</x:v>
      </x:c>
      <x:c r="C17" s="14" t="str">
        <x:v>H5</x:v>
      </x:c>
      <x:c r="D17" s="14" t="str">
        <x:v>22:30–23:15</x:v>
      </x:c>
      <x:c r="E17" s="14" t="str">
        <x:v>核心</x:v>
      </x:c>
      <x:c r="F17" s="14" t="str">
        <x:v>质量检查</x:v>
      </x:c>
      <x:c r="G17" s="14" t="str">
        <x:v>P1</x:v>
      </x:c>
      <x:c r="H17" s="14" t="str">
        <x:v>去拼接感并编译</x:v>
      </x:c>
      <x:c r="I17" s="14" t="str">
        <x:v>删除 paper-style 重复贡献声明；统一 citation 与术语；完成日终 commit。</x:v>
      </x:c>
      <x:c r="J17" s="39" t="n">
        <x:v>0.75</x:v>
      </x:c>
      <x:c r="K17" s="14" t="str">
        <x:v>未开始</x:v>
      </x:c>
      <x:c r="L17" s="45" t="n">
        <x:v>0</x:v>
      </x:c>
      <x:c r="M17" s="39"/>
      <x:c r="N17" s="39" t="n">
        <x:f>J17*L17</x:f>
        <x:v>0</x:v>
      </x:c>
      <x:c r="O17" s="14" t="str"/>
      <x:c r="P17" s="14" t="str"/>
      <x:c r="Q17" s="14" t="str"/>
      <x:c r="R17" s="14" t="str"/>
      <x:c r="S17" s="20" t="str">
        <x:f>IF(OR(K17="已完成",K17="取消/不需要"),"",IF(A17&lt;TODAY(),"逾期",IF(A17=TODAY(),"今日","待办")))</x:f>
        <x:v>待办</x:v>
      </x:c>
    </x:row>
    <x:row r="18">
      <x:c r="A18" s="245" t="n">
        <x:v>46199</x:v>
      </x:c>
      <x:c r="B18" s="14" t="str">
        <x:v>周五</x:v>
      </x:c>
      <x:c r="C18" s="14" t="str">
        <x:v>F1</x:v>
      </x:c>
      <x:c r="D18" s="14" t="str">
        <x:v>09:45–10:15</x:v>
      </x:c>
      <x:c r="E18" s="14" t="str">
        <x:v>核心</x:v>
      </x:c>
      <x:c r="F18" s="14" t="str">
        <x:v>技术审查</x:v>
      </x:c>
      <x:c r="G18" s="14" t="str">
        <x:v>P0</x:v>
      </x:c>
      <x:c r="H18" s="14" t="str">
        <x:v>读取并分类 Codex 差异报告</x:v>
      </x:c>
      <x:c r="I18" s="14" t="str">
        <x:v>将差异分为排版、符号、可能改变模型含义三类；形成数学风险清单。</x:v>
      </x:c>
      <x:c r="J18" s="39" t="n">
        <x:v>0.5</x:v>
      </x:c>
      <x:c r="K18" s="14" t="str">
        <x:v>未开始</x:v>
      </x:c>
      <x:c r="L18" s="45" t="n">
        <x:v>0</x:v>
      </x:c>
      <x:c r="M18" s="39"/>
      <x:c r="N18" s="39" t="n">
        <x:f>J18*L18</x:f>
        <x:v>0</x:v>
      </x:c>
      <x:c r="O18" s="14" t="str"/>
      <x:c r="P18" s="14" t="str"/>
      <x:c r="Q18" s="14" t="str"/>
      <x:c r="R18" s="14" t="str"/>
      <x:c r="S18" s="20" t="str">
        <x:f>IF(OR(K18="已完成",K18="取消/不需要"),"",IF(A18&lt;TODAY(),"逾期",IF(A18=TODAY(),"今日","待办")))</x:f>
        <x:v>待办</x:v>
      </x:c>
    </x:row>
    <x:row r="19">
      <x:c r="A19" s="245" t="n">
        <x:v>46199</x:v>
      </x:c>
      <x:c r="B19" s="14" t="str">
        <x:v>周五</x:v>
      </x:c>
      <x:c r="C19" s="14" t="str">
        <x:v>F2</x:v>
      </x:c>
      <x:c r="D19" s="14" t="str">
        <x:v>10:15–12:15</x:v>
      </x:c>
      <x:c r="E19" s="14" t="str">
        <x:v>核心</x:v>
      </x:c>
      <x:c r="F19" s="14" t="str">
        <x:v>Chapter 3</x:v>
      </x:c>
      <x:c r="G19" s="14" t="str">
        <x:v>P0</x:v>
      </x:c>
      <x:c r="H19" s="14" t="str">
        <x:v>Chapter 3 技术审查与过渡</x:v>
      </x:c>
      <x:c r="I19" s="14" t="str">
        <x:v>核对目标、约束、ATS、实验定义和表格；加入 Ch2→Ch3 与 Ch3→Ch4 过渡。</x:v>
      </x:c>
      <x:c r="J19" s="39" t="n">
        <x:v>2</x:v>
      </x:c>
      <x:c r="K19" s="14" t="str">
        <x:v>未开始</x:v>
      </x:c>
      <x:c r="L19" s="45" t="n">
        <x:v>0</x:v>
      </x:c>
      <x:c r="M19" s="39"/>
      <x:c r="N19" s="39" t="n">
        <x:f>J19*L19</x:f>
        <x:v>0</x:v>
      </x:c>
      <x:c r="O19" s="14" t="str"/>
      <x:c r="P19" s="14" t="str"/>
      <x:c r="Q19" s="14" t="str"/>
      <x:c r="R19" s="14" t="str"/>
      <x:c r="S19" s="20" t="str">
        <x:f>IF(OR(K19="已完成",K19="取消/不需要"),"",IF(A19&lt;TODAY(),"逾期",IF(A19=TODAY(),"今日","待办")))</x:f>
        <x:v>待办</x:v>
      </x:c>
    </x:row>
    <x:row r="20">
      <x:c r="A20" s="245" t="n">
        <x:v>46199</x:v>
      </x:c>
      <x:c r="B20" s="14" t="str">
        <x:v>周五</x:v>
      </x:c>
      <x:c r="C20" s="14" t="str">
        <x:v>F3</x:v>
      </x:c>
      <x:c r="D20" s="14" t="str">
        <x:v>12:45–13:35</x:v>
      </x:c>
      <x:c r="E20" s="14" t="str">
        <x:v>核心</x:v>
      </x:c>
      <x:c r="F20" s="14" t="str">
        <x:v>图件与编号</x:v>
      </x:c>
      <x:c r="G20" s="14" t="str">
        <x:v>P0</x:v>
      </x:c>
      <x:c r="H20" s="14" t="str">
        <x:v>恢复 Chapter 3/5 图件</x:v>
      </x:c>
      <x:c r="I20" s="14" t="str">
        <x:v>清除相关 5 个占位符，或为无法恢复者形成明确且可执行的重建方案。</x:v>
      </x:c>
      <x:c r="J20" s="39" t="n">
        <x:v>0.83</x:v>
      </x:c>
      <x:c r="K20" s="14" t="str">
        <x:v>未开始</x:v>
      </x:c>
      <x:c r="L20" s="45" t="n">
        <x:v>0</x:v>
      </x:c>
      <x:c r="M20" s="39"/>
      <x:c r="N20" s="39" t="n">
        <x:f>J20*L20</x:f>
        <x:v>0</x:v>
      </x:c>
      <x:c r="O20" s="14" t="str"/>
      <x:c r="P20" s="14" t="str"/>
      <x:c r="Q20" s="14" t="str"/>
      <x:c r="R20" s="14" t="str"/>
      <x:c r="S20" s="20" t="str">
        <x:f>IF(OR(K20="已完成",K20="取消/不需要"),"",IF(A20&lt;TODAY(),"逾期",IF(A20=TODAY(),"今日","待办")))</x:f>
        <x:v>待办</x:v>
      </x:c>
    </x:row>
    <x:row r="21">
      <x:c r="A21" s="245" t="n">
        <x:v>46199</x:v>
      </x:c>
      <x:c r="B21" s="14" t="str">
        <x:v>周五</x:v>
      </x:c>
      <x:c r="C21" s="14" t="str">
        <x:v>F4</x:v>
      </x:c>
      <x:c r="D21" s="14" t="str">
        <x:v>19:00–20:45</x:v>
      </x:c>
      <x:c r="E21" s="14" t="str">
        <x:v>核心</x:v>
      </x:c>
      <x:c r="F21" s="14" t="str">
        <x:v>Chapter 4</x:v>
      </x:c>
      <x:c r="G21" s="14" t="str">
        <x:v>P0</x:v>
      </x:c>
      <x:c r="H21" s="14" t="str">
        <x:v>Chapter 4 模型审查</x:v>
      </x:c>
      <x:c r="I21" s="14" t="str">
        <x:v>检查 EUDF、线性化、排放项、tie-breaking、库存守恒、时间离散、变量域和单位。</x:v>
      </x:c>
      <x:c r="J21" s="39" t="n">
        <x:v>1.75</x:v>
      </x:c>
      <x:c r="K21" s="14" t="str">
        <x:v>未开始</x:v>
      </x:c>
      <x:c r="L21" s="45" t="n">
        <x:v>0</x:v>
      </x:c>
      <x:c r="M21" s="39"/>
      <x:c r="N21" s="39" t="n">
        <x:f>J21*L21</x:f>
        <x:v>0</x:v>
      </x:c>
      <x:c r="O21" s="14" t="str"/>
      <x:c r="P21" s="14" t="str"/>
      <x:c r="Q21" s="14" t="str"/>
      <x:c r="R21" s="14" t="str"/>
      <x:c r="S21" s="20" t="str">
        <x:f>IF(OR(K21="已完成",K21="取消/不需要"),"",IF(A21&lt;TODAY(),"逾期",IF(A21=TODAY(),"今日","待办")))</x:f>
        <x:v>待办</x:v>
      </x:c>
    </x:row>
    <x:row r="22">
      <x:c r="A22" s="245" t="n">
        <x:v>46199</x:v>
      </x:c>
      <x:c r="B22" s="14" t="str">
        <x:v>周五</x:v>
      </x:c>
      <x:c r="C22" s="14" t="str">
        <x:v>F5</x:v>
      </x:c>
      <x:c r="D22" s="14" t="str">
        <x:v>21:00–22:15</x:v>
      </x:c>
      <x:c r="E22" s="14" t="str">
        <x:v>核心</x:v>
      </x:c>
      <x:c r="F22" s="14" t="str">
        <x:v>Chapter 4</x:v>
      </x:c>
      <x:c r="G22" s="14" t="str">
        <x:v>P1</x:v>
      </x:c>
      <x:c r="H22" s="14" t="str">
        <x:v>清理 Chapter 4 论述</x:v>
      </x:c>
      <x:c r="I22" s="14" t="str">
        <x:v>重写章首/结论；清除 manuscript/paper/reviewer-defense 和过度宣传式语言。</x:v>
      </x:c>
      <x:c r="J22" s="39" t="n">
        <x:v>1.25</x:v>
      </x:c>
      <x:c r="K22" s="14" t="str">
        <x:v>未开始</x:v>
      </x:c>
      <x:c r="L22" s="45" t="n">
        <x:v>0</x:v>
      </x:c>
      <x:c r="M22" s="39"/>
      <x:c r="N22" s="39" t="n">
        <x:f>J22*L22</x:f>
        <x:v>0</x:v>
      </x:c>
      <x:c r="O22" s="14" t="str"/>
      <x:c r="P22" s="14" t="str"/>
      <x:c r="Q22" s="14" t="str"/>
      <x:c r="R22" s="14" t="str"/>
      <x:c r="S22" s="20" t="str">
        <x:f>IF(OR(K22="已完成",K22="取消/不需要"),"",IF(A22&lt;TODAY(),"逾期",IF(A22=TODAY(),"今日","待办")))</x:f>
        <x:v>待办</x:v>
      </x:c>
    </x:row>
    <x:row r="23">
      <x:c r="A23" s="245" t="n">
        <x:v>46199</x:v>
      </x:c>
      <x:c r="B23" s="14" t="str">
        <x:v>周五</x:v>
      </x:c>
      <x:c r="C23" s="14" t="str">
        <x:v>F6</x:v>
      </x:c>
      <x:c r="D23" s="14" t="str">
        <x:v>22:15–23:15</x:v>
      </x:c>
      <x:c r="E23" s="14" t="str">
        <x:v>核心</x:v>
      </x:c>
      <x:c r="F23" s="14" t="str">
        <x:v>附录与引用</x:v>
      </x:c>
      <x:c r="G23" s="14" t="str">
        <x:v>P0</x:v>
      </x:c>
      <x:c r="H23" s="14" t="str">
        <x:v>稳定正文—附录接口</x:v>
      </x:c>
      <x:c r="I23" s="14" t="str">
        <x:v>将硬编码 Algorithm/Appendix/Chapter 编号改为稳定引用，并检查 Appendix A–E 调用关系。</x:v>
      </x:c>
      <x:c r="J23" s="39" t="n">
        <x:v>1</x:v>
      </x:c>
      <x:c r="K23" s="14" t="str">
        <x:v>未开始</x:v>
      </x:c>
      <x:c r="L23" s="45" t="n">
        <x:v>0</x:v>
      </x:c>
      <x:c r="M23" s="39"/>
      <x:c r="N23" s="39" t="n">
        <x:f>J23*L23</x:f>
        <x:v>0</x:v>
      </x:c>
      <x:c r="O23" s="14" t="str"/>
      <x:c r="P23" s="14" t="str"/>
      <x:c r="Q23" s="14" t="str"/>
      <x:c r="R23" s="14" t="str"/>
      <x:c r="S23" s="20" t="str">
        <x:f>IF(OR(K23="已完成",K23="取消/不需要"),"",IF(A23&lt;TODAY(),"逾期",IF(A23=TODAY(),"今日","待办")))</x:f>
        <x:v>待办</x:v>
      </x:c>
    </x:row>
    <x:row r="24">
      <x:c r="A24" s="245" t="n">
        <x:v>46200</x:v>
      </x:c>
      <x:c r="B24" s="14" t="str">
        <x:v>周六</x:v>
      </x:c>
      <x:c r="C24" s="14" t="str">
        <x:v>B1</x:v>
      </x:c>
      <x:c r="D24" s="14" t="str">
        <x:v>可选 10:30–12:00</x:v>
      </x:c>
      <x:c r="E24" s="14" t="str">
        <x:v>可选</x:v>
      </x:c>
      <x:c r="F24" s="14" t="str">
        <x:v>风险缓冲</x:v>
      </x:c>
      <x:c r="G24" s="14" t="str">
        <x:v>P1</x:v>
      </x:c>
      <x:c r="H24" s="14" t="str">
        <x:v>恢复剩余图片</x:v>
      </x:c>
      <x:c r="I24" s="14" t="str">
        <x:v>仅在出游取消且状态良好时执行；优先清除所有剩余 figure placeholder。</x:v>
      </x:c>
      <x:c r="J24" s="39" t="n">
        <x:v>1.5</x:v>
      </x:c>
      <x:c r="K24" s="14" t="str">
        <x:v>未开始</x:v>
      </x:c>
      <x:c r="L24" s="45" t="n">
        <x:v>0</x:v>
      </x:c>
      <x:c r="M24" s="39"/>
      <x:c r="N24" s="39" t="n">
        <x:f>J24*L24</x:f>
        <x:v>0</x:v>
      </x:c>
      <x:c r="O24" s="14" t="str"/>
      <x:c r="P24" s="14" t="str"/>
      <x:c r="Q24" s="14" t="str"/>
      <x:c r="R24" s="14" t="str"/>
      <x:c r="S24" s="20" t="str">
        <x:f>IF(OR(K24="已完成",K24="取消/不需要"),"",IF(A24&lt;TODAY(),"逾期",IF(A24=TODAY(),"今日","待办")))</x:f>
        <x:v>待办</x:v>
      </x:c>
    </x:row>
    <x:row r="25">
      <x:c r="A25" s="245" t="n">
        <x:v>46200</x:v>
      </x:c>
      <x:c r="B25" s="14" t="str">
        <x:v>周六</x:v>
      </x:c>
      <x:c r="C25" s="14" t="str">
        <x:v>B2</x:v>
      </x:c>
      <x:c r="D25" s="14" t="str">
        <x:v>可选 19:00–20:30</x:v>
      </x:c>
      <x:c r="E25" s="14" t="str">
        <x:v>可选</x:v>
      </x:c>
      <x:c r="F25" s="14" t="str">
        <x:v>风险缓冲</x:v>
      </x:c>
      <x:c r="G25" s="14" t="str">
        <x:v>P1</x:v>
      </x:c>
      <x:c r="H25" s="14" t="str">
        <x:v>Chapter 4 语言缓冲</x:v>
      </x:c>
      <x:c r="I25" s="14" t="str">
        <x:v>仅在需要时清理 Chapter 4 语言或关闭 P0 编译问题；不得启动新研究。</x:v>
      </x:c>
      <x:c r="J25" s="39" t="n">
        <x:v>1.5</x:v>
      </x:c>
      <x:c r="K25" s="14" t="str">
        <x:v>未开始</x:v>
      </x:c>
      <x:c r="L25" s="45" t="n">
        <x:v>0</x:v>
      </x:c>
      <x:c r="M25" s="39"/>
      <x:c r="N25" s="39" t="n">
        <x:f>J25*L25</x:f>
        <x:v>0</x:v>
      </x:c>
      <x:c r="O25" s="14" t="str"/>
      <x:c r="P25" s="14" t="str"/>
      <x:c r="Q25" s="14" t="str"/>
      <x:c r="R25" s="14" t="str"/>
      <x:c r="S25" s="20" t="str">
        <x:f>IF(OR(K25="已完成",K25="取消/不需要"),"",IF(A25&lt;TODAY(),"逾期",IF(A25=TODAY(),"今日","待办")))</x:f>
        <x:v>待办</x:v>
      </x:c>
    </x:row>
    <x:row r="26">
      <x:c r="A26" s="245" t="n">
        <x:v>46201</x:v>
      </x:c>
      <x:c r="B26" s="14" t="str">
        <x:v>周日</x:v>
      </x:c>
      <x:c r="C26" s="14" t="str">
        <x:v>S1</x:v>
      </x:c>
      <x:c r="D26" s="14" t="str">
        <x:v>09:30–10:30</x:v>
      </x:c>
      <x:c r="E26" s="14" t="str">
        <x:v>核心</x:v>
      </x:c>
      <x:c r="F26" s="14" t="str">
        <x:v>导师汇报</x:v>
      </x:c>
      <x:c r="G26" s="14" t="str">
        <x:v>P0</x:v>
      </x:c>
      <x:c r="H26" s="14" t="str">
        <x:v>准备导师汇报包</x:v>
      </x:c>
      <x:c r="I26" s="14" t="str">
        <x:v>完成最新 PDF 与一页进度摘要：已完成、剩余 P0、预计提交节点。</x:v>
      </x:c>
      <x:c r="J26" s="39" t="n">
        <x:v>1</x:v>
      </x:c>
      <x:c r="K26" s="14" t="str">
        <x:v>未开始</x:v>
      </x:c>
      <x:c r="L26" s="45" t="n">
        <x:v>0</x:v>
      </x:c>
      <x:c r="M26" s="39"/>
      <x:c r="N26" s="39" t="n">
        <x:f>J26*L26</x:f>
        <x:v>0</x:v>
      </x:c>
      <x:c r="O26" s="14" t="str"/>
      <x:c r="P26" s="14" t="str"/>
      <x:c r="Q26" s="14" t="str"/>
      <x:c r="R26" s="14" t="str"/>
      <x:c r="S26" s="20" t="str">
        <x:f>IF(OR(K26="已完成",K26="取消/不需要"),"",IF(A26&lt;TODAY(),"逾期",IF(A26=TODAY(),"今日","待办")))</x:f>
        <x:v>待办</x:v>
      </x:c>
    </x:row>
    <x:row r="27">
      <x:c r="A27" s="245" t="n">
        <x:v>46201</x:v>
      </x:c>
      <x:c r="B27" s="14" t="str">
        <x:v>周日</x:v>
      </x:c>
      <x:c r="C27" s="14" t="str">
        <x:v>S2</x:v>
      </x:c>
      <x:c r="D27" s="14" t="str">
        <x:v>10:30–12:30</x:v>
      </x:c>
      <x:c r="E27" s="14" t="str">
        <x:v>缓冲</x:v>
      </x:c>
      <x:c r="F27" s="14" t="str">
        <x:v>导师汇报</x:v>
      </x:c>
      <x:c r="G27" s="14" t="str">
        <x:v>P1</x:v>
      </x:c>
      <x:c r="H27" s="14" t="str">
        <x:v>导师会议/等待缓冲</x:v>
      </x:c>
      <x:c r="I27" s="14" t="str">
        <x:v>用于会议、准备或等待；无会议时转为 Chapter 4 与图片 P0 缓冲。</x:v>
      </x:c>
      <x:c r="J27" s="39" t="n">
        <x:v>2</x:v>
      </x:c>
      <x:c r="K27" s="14" t="str">
        <x:v>未开始</x:v>
      </x:c>
      <x:c r="L27" s="45" t="n">
        <x:v>0</x:v>
      </x:c>
      <x:c r="M27" s="39"/>
      <x:c r="N27" s="39" t="n">
        <x:f>J27*L27</x:f>
        <x:v>0</x:v>
      </x:c>
      <x:c r="O27" s="14" t="str"/>
      <x:c r="P27" s="14" t="str"/>
      <x:c r="Q27" s="14" t="str"/>
      <x:c r="R27" s="14" t="str"/>
      <x:c r="S27" s="20" t="str">
        <x:f>IF(OR(K27="已完成",K27="取消/不需要"),"",IF(A27&lt;TODAY(),"逾期",IF(A27=TODAY(),"今日","待办")))</x:f>
        <x:v>待办</x:v>
      </x:c>
    </x:row>
    <x:row r="28">
      <x:c r="A28" s="245" t="n">
        <x:v>46201</x:v>
      </x:c>
      <x:c r="B28" s="14" t="str">
        <x:v>周日</x:v>
      </x:c>
      <x:c r="C28" s="14" t="str">
        <x:v>S3</x:v>
      </x:c>
      <x:c r="D28" s="14" t="str">
        <x:v>13:30–15:30</x:v>
      </x:c>
      <x:c r="E28" s="14" t="str">
        <x:v>核心</x:v>
      </x:c>
      <x:c r="F28" s="14" t="str">
        <x:v>Chapter 4</x:v>
      </x:c>
      <x:c r="G28" s="14" t="str">
        <x:v>P0</x:v>
      </x:c>
      <x:c r="H28" s="14" t="str">
        <x:v>Chapter 4 最终整合</x:v>
      </x:c>
      <x:c r="I28" s="14" t="str">
        <x:v>完成语言清理、8 幅图、算法叙述和附录接口；无 placeholder/paper 残留。</x:v>
      </x:c>
      <x:c r="J28" s="39" t="n">
        <x:v>2</x:v>
      </x:c>
      <x:c r="K28" s="14" t="str">
        <x:v>未开始</x:v>
      </x:c>
      <x:c r="L28" s="45" t="n">
        <x:v>0</x:v>
      </x:c>
      <x:c r="M28" s="39"/>
      <x:c r="N28" s="39" t="n">
        <x:f>J28*L28</x:f>
        <x:v>0</x:v>
      </x:c>
      <x:c r="O28" s="14" t="str"/>
      <x:c r="P28" s="14" t="str"/>
      <x:c r="Q28" s="14" t="str"/>
      <x:c r="R28" s="14" t="str"/>
      <x:c r="S28" s="20" t="str">
        <x:f>IF(OR(K28="已完成",K28="取消/不需要"),"",IF(A28&lt;TODAY(),"逾期",IF(A28=TODAY(),"今日","待办")))</x:f>
        <x:v>待办</x:v>
      </x:c>
    </x:row>
    <x:row r="29">
      <x:c r="A29" s="245" t="n">
        <x:v>46201</x:v>
      </x:c>
      <x:c r="B29" s="14" t="str">
        <x:v>周日</x:v>
      </x:c>
      <x:c r="C29" s="14" t="str">
        <x:v>S4</x:v>
      </x:c>
      <x:c r="D29" s="14" t="str">
        <x:v>15:45–17:30</x:v>
      </x:c>
      <x:c r="E29" s="14" t="str">
        <x:v>核心</x:v>
      </x:c>
      <x:c r="F29" s="14" t="str">
        <x:v>Chapter 5</x:v>
      </x:c>
      <x:c r="G29" s="14" t="str">
        <x:v>P0</x:v>
      </x:c>
      <x:c r="H29" s="14" t="str">
        <x:v>Chapter 5 章际整合</x:v>
      </x:c>
      <x:c r="I29" s="14" t="str">
        <x:v>将外部自引优先改为 Chapter 4 内部承接；解释排放目标差异与 Ch3 方法继承。</x:v>
      </x:c>
      <x:c r="J29" s="39" t="n">
        <x:v>1.75</x:v>
      </x:c>
      <x:c r="K29" s="14" t="str">
        <x:v>未开始</x:v>
      </x:c>
      <x:c r="L29" s="45" t="n">
        <x:v>0</x:v>
      </x:c>
      <x:c r="M29" s="39"/>
      <x:c r="N29" s="39" t="n">
        <x:f>J29*L29</x:f>
        <x:v>0</x:v>
      </x:c>
      <x:c r="O29" s="14" t="str"/>
      <x:c r="P29" s="14" t="str"/>
      <x:c r="Q29" s="14" t="str"/>
      <x:c r="R29" s="14" t="str"/>
      <x:c r="S29" s="20" t="str">
        <x:f>IF(OR(K29="已完成",K29="取消/不需要"),"",IF(A29&lt;TODAY(),"逾期",IF(A29=TODAY(),"今日","待办")))</x:f>
        <x:v>待办</x:v>
      </x:c>
    </x:row>
    <x:row r="30">
      <x:c r="A30" s="245" t="n">
        <x:v>46201</x:v>
      </x:c>
      <x:c r="B30" s="14" t="str">
        <x:v>周日</x:v>
      </x:c>
      <x:c r="C30" s="14" t="str">
        <x:v>S5</x:v>
      </x:c>
      <x:c r="D30" s="14" t="str">
        <x:v>18:30–20:30</x:v>
      </x:c>
      <x:c r="E30" s="14" t="str">
        <x:v>核心</x:v>
      </x:c>
      <x:c r="F30" s="14" t="str">
        <x:v>Chapter 6</x:v>
      </x:c>
      <x:c r="G30" s="14" t="str">
        <x:v>P0</x:v>
      </x:c>
      <x:c r="H30" s="14" t="str">
        <x:v>重写 Chapter 6</x:v>
      </x:c>
      <x:c r="I30" s="14" t="str">
        <x:v>按 RQ1–RQ3、跨章综合、贡献、局限和未来研究重构至约 1,800–2,500 词。</x:v>
      </x:c>
      <x:c r="J30" s="39" t="n">
        <x:v>2</x:v>
      </x:c>
      <x:c r="K30" s="14" t="str">
        <x:v>未开始</x:v>
      </x:c>
      <x:c r="L30" s="45" t="n">
        <x:v>0</x:v>
      </x:c>
      <x:c r="M30" s="39"/>
      <x:c r="N30" s="39" t="n">
        <x:f>J30*L30</x:f>
        <x:v>0</x:v>
      </x:c>
      <x:c r="O30" s="14" t="str"/>
      <x:c r="P30" s="14" t="str"/>
      <x:c r="Q30" s="14" t="str"/>
      <x:c r="R30" s="14" t="str"/>
      <x:c r="S30" s="20" t="str">
        <x:f>IF(OR(K30="已完成",K30="取消/不需要"),"",IF(A30&lt;TODAY(),"逾期",IF(A30=TODAY(),"今日","待办")))</x:f>
        <x:v>待办</x:v>
      </x:c>
    </x:row>
    <x:row r="31">
      <x:c r="A31" s="245" t="n">
        <x:v>46201</x:v>
      </x:c>
      <x:c r="B31" s="14" t="str">
        <x:v>周日</x:v>
      </x:c>
      <x:c r="C31" s="14" t="str">
        <x:v>S6</x:v>
      </x:c>
      <x:c r="D31" s="14" t="str">
        <x:v>20:45–22:00</x:v>
      </x:c>
      <x:c r="E31" s="14" t="str">
        <x:v>核心</x:v>
      </x:c>
      <x:c r="F31" s="14" t="str">
        <x:v>前置部分</x:v>
      </x:c>
      <x:c r="G31" s="14" t="str">
        <x:v>P0</x:v>
      </x:c>
      <x:c r="H31" s="14" t="str">
        <x:v>完成摘要和前置部分</x:v>
      </x:c>
      <x:c r="I31" s="14" t="str">
        <x:v>摘要加入问题、方法、主要结果和统一意义；完成致谢与缩写核对。</x:v>
      </x:c>
      <x:c r="J31" s="39" t="n">
        <x:v>1.25</x:v>
      </x:c>
      <x:c r="K31" s="14" t="str">
        <x:v>未开始</x:v>
      </x:c>
      <x:c r="L31" s="45" t="n">
        <x:v>0</x:v>
      </x:c>
      <x:c r="M31" s="39"/>
      <x:c r="N31" s="39" t="n">
        <x:f>J31*L31</x:f>
        <x:v>0</x:v>
      </x:c>
      <x:c r="O31" s="14" t="str"/>
      <x:c r="P31" s="14" t="str"/>
      <x:c r="Q31" s="14" t="str"/>
      <x:c r="R31" s="14" t="str"/>
      <x:c r="S31" s="20" t="str">
        <x:f>IF(OR(K31="已完成",K31="取消/不需要"),"",IF(A31&lt;TODAY(),"逾期",IF(A31=TODAY(),"今日","待办")))</x:f>
        <x:v>待办</x:v>
      </x:c>
    </x:row>
    <x:row r="32">
      <x:c r="A32" s="245" t="n">
        <x:v>46201</x:v>
      </x:c>
      <x:c r="B32" s="14" t="str">
        <x:v>周日</x:v>
      </x:c>
      <x:c r="C32" s="14" t="str">
        <x:v>S7</x:v>
      </x:c>
      <x:c r="D32" s="14" t="str">
        <x:v>22:00–23:00</x:v>
      </x:c>
      <x:c r="E32" s="14" t="str">
        <x:v>核心</x:v>
      </x:c>
      <x:c r="F32" s="14" t="str">
        <x:v>内容冻结</x:v>
      </x:c>
      <x:c r="G32" s="14" t="str">
        <x:v>P0</x:v>
      </x:c>
      <x:c r="H32" s="14" t="str">
        <x:v>执行内容冻结</x:v>
      </x:c>
      <x:c r="I32" s="14" t="str">
        <x:v>全文编译；清除 TODO/placeholder；检查目录、图表、引用、浮动体；生成冻结 commit。</x:v>
      </x:c>
      <x:c r="J32" s="39" t="n">
        <x:v>1</x:v>
      </x:c>
      <x:c r="K32" s="14" t="str">
        <x:v>未开始</x:v>
      </x:c>
      <x:c r="L32" s="45" t="n">
        <x:v>0</x:v>
      </x:c>
      <x:c r="M32" s="39"/>
      <x:c r="N32" s="39" t="n">
        <x:f>J32*L32</x:f>
        <x:v>0</x:v>
      </x:c>
      <x:c r="O32" s="14" t="str"/>
      <x:c r="P32" s="14" t="str"/>
      <x:c r="Q32" s="14" t="str"/>
      <x:c r="R32" s="14" t="str"/>
      <x:c r="S32" s="20" t="str">
        <x:f>IF(OR(K32="已完成",K32="取消/不需要"),"",IF(A32&lt;TODAY(),"逾期",IF(A32=TODAY(),"今日","待办")))</x:f>
        <x:v>待办</x:v>
      </x:c>
    </x:row>
    <x:row r="33">
      <x:c r="A33" s="245" t="n">
        <x:v>46202</x:v>
      </x:c>
      <x:c r="B33" s="14" t="str">
        <x:v>周一</x:v>
      </x:c>
      <x:c r="C33" s="14" t="str">
        <x:v>M1</x:v>
      </x:c>
      <x:c r="D33" s="14" t="str">
        <x:v>09:30–10:15</x:v>
      </x:c>
      <x:c r="E33" s="14" t="str">
        <x:v>核心</x:v>
      </x:c>
      <x:c r="F33" s="14" t="str">
        <x:v>最终质检</x:v>
      </x:c>
      <x:c r="G33" s="14" t="str">
        <x:v>P0</x:v>
      </x:c>
      <x:c r="H33" s="14" t="str">
        <x:v>执行 clean build</x:v>
      </x:c>
      <x:c r="I33" s="14" t="str">
        <x:v>删除辅助文件后完整编译；无 undefined citation/reference、重复 label、missing image。</x:v>
      </x:c>
      <x:c r="J33" s="39" t="n">
        <x:v>0.75</x:v>
      </x:c>
      <x:c r="K33" s="14" t="str">
        <x:v>未开始</x:v>
      </x:c>
      <x:c r="L33" s="45" t="n">
        <x:v>0</x:v>
      </x:c>
      <x:c r="M33" s="39"/>
      <x:c r="N33" s="39" t="n">
        <x:f>J33*L33</x:f>
        <x:v>0</x:v>
      </x:c>
      <x:c r="O33" s="14" t="str"/>
      <x:c r="P33" s="14" t="str"/>
      <x:c r="Q33" s="14" t="str"/>
      <x:c r="R33" s="14" t="str"/>
      <x:c r="S33" s="20" t="str">
        <x:f>IF(OR(K33="已完成",K33="取消/不需要"),"",IF(A33&lt;TODAY(),"逾期",IF(A33=TODAY(),"今日","待办")))</x:f>
        <x:v>待办</x:v>
      </x:c>
    </x:row>
    <x:row r="34">
      <x:c r="A34" s="245" t="n">
        <x:v>46202</x:v>
      </x:c>
      <x:c r="B34" s="14" t="str">
        <x:v>周一</x:v>
      </x:c>
      <x:c r="C34" s="14" t="str">
        <x:v>M2</x:v>
      </x:c>
      <x:c r="D34" s="14" t="str">
        <x:v>10:15–11:15</x:v>
      </x:c>
      <x:c r="E34" s="14" t="str">
        <x:v>核心</x:v>
      </x:c>
      <x:c r="F34" s="14" t="str">
        <x:v>最终质检</x:v>
      </x:c>
      <x:c r="G34" s="14" t="str">
        <x:v>P0</x:v>
      </x:c>
      <x:c r="H34" s="14" t="str">
        <x:v>核对结果一致性</x:v>
      </x:c>
      <x:c r="I34" s="14" t="str">
        <x:v>核对摘要与 Ch3–6 的百分比、规模、time limit、optimality claim，确保数字有唯一来源。</x:v>
      </x:c>
      <x:c r="J34" s="39" t="n">
        <x:v>1</x:v>
      </x:c>
      <x:c r="K34" s="14" t="str">
        <x:v>未开始</x:v>
      </x:c>
      <x:c r="L34" s="45" t="n">
        <x:v>0</x:v>
      </x:c>
      <x:c r="M34" s="39"/>
      <x:c r="N34" s="39" t="n">
        <x:f>J34*L34</x:f>
        <x:v>0</x:v>
      </x:c>
      <x:c r="O34" s="14" t="str"/>
      <x:c r="P34" s="14" t="str"/>
      <x:c r="Q34" s="14" t="str"/>
      <x:c r="R34" s="14" t="str"/>
      <x:c r="S34" s="20" t="str">
        <x:f>IF(OR(K34="已完成",K34="取消/不需要"),"",IF(A34&lt;TODAY(),"逾期",IF(A34=TODAY(),"今日","待办")))</x:f>
        <x:v>待办</x:v>
      </x:c>
    </x:row>
    <x:row r="35">
      <x:c r="A35" s="245" t="n">
        <x:v>46202</x:v>
      </x:c>
      <x:c r="B35" s="14" t="str">
        <x:v>周一</x:v>
      </x:c>
      <x:c r="C35" s="14" t="str">
        <x:v>M3</x:v>
      </x:c>
      <x:c r="D35" s="14" t="str">
        <x:v>11:15–12:00</x:v>
      </x:c>
      <x:c r="E35" s="14" t="str">
        <x:v>核心</x:v>
      </x:c>
      <x:c r="F35" s="14" t="str">
        <x:v>语言质检</x:v>
      </x:c>
      <x:c r="G35" s="14" t="str">
        <x:v>P0</x:v>
      </x:c>
      <x:c r="H35" s="14" t="str">
        <x:v>扫描语言风险</x:v>
      </x:c>
      <x:c r="I35" s="14" t="str">
        <x:v>优先清理 Ch4 防御性/AI 式表达、无依据因果推断和宣传性措辞。</x:v>
      </x:c>
      <x:c r="J35" s="39" t="n">
        <x:v>0.75</x:v>
      </x:c>
      <x:c r="K35" s="14" t="str">
        <x:v>未开始</x:v>
      </x:c>
      <x:c r="L35" s="45" t="n">
        <x:v>0</x:v>
      </x:c>
      <x:c r="M35" s="39"/>
      <x:c r="N35" s="39" t="n">
        <x:f>J35*L35</x:f>
        <x:v>0</x:v>
      </x:c>
      <x:c r="O35" s="14" t="str"/>
      <x:c r="P35" s="14" t="str"/>
      <x:c r="Q35" s="14" t="str"/>
      <x:c r="R35" s="14" t="str"/>
      <x:c r="S35" s="20" t="str">
        <x:f>IF(OR(K35="已完成",K35="取消/不需要"),"",IF(A35&lt;TODAY(),"逾期",IF(A35=TODAY(),"今日","待办")))</x:f>
        <x:v>待办</x:v>
      </x:c>
    </x:row>
    <x:row r="36">
      <x:c r="A36" s="245" t="n">
        <x:v>46202</x:v>
      </x:c>
      <x:c r="B36" s="14" t="str">
        <x:v>周一</x:v>
      </x:c>
      <x:c r="C36" s="14" t="str">
        <x:v>M4</x:v>
      </x:c>
      <x:c r="D36" s="14" t="str">
        <x:v>12:00–12:30</x:v>
      </x:c>
      <x:c r="E36" s="14" t="str">
        <x:v>核心</x:v>
      </x:c>
      <x:c r="F36" s="14" t="str">
        <x:v>提交</x:v>
      </x:c>
      <x:c r="G36" s="14" t="str">
        <x:v>P0</x:v>
      </x:c>
      <x:c r="H36" s="14" t="str">
        <x:v>生成并发送 supervisor-ready 包</x:v>
      </x:c>
      <x:c r="I36" s="14" t="str">
        <x:v>核对文件名、页码、目录、附录和图表；12:30 前发送 PDF 与源码快照。</x:v>
      </x:c>
      <x:c r="J36" s="39" t="n">
        <x:v>0.5</x:v>
      </x:c>
      <x:c r="K36" s="14" t="str">
        <x:v>未开始</x:v>
      </x:c>
      <x:c r="L36" s="45" t="n">
        <x:v>0</x:v>
      </x:c>
      <x:c r="M36" s="39"/>
      <x:c r="N36" s="39" t="n">
        <x:f>J36*L36</x:f>
        <x:v>0</x:v>
      </x:c>
      <x:c r="O36" s="14" t="str"/>
      <x:c r="P36" s="14" t="str"/>
      <x:c r="Q36" s="14" t="str"/>
      <x:c r="R36" s="14" t="str"/>
      <x:c r="S36" s="20" t="str">
        <x:f>IF(OR(K36="已完成",K36="取消/不需要"),"",IF(A36&lt;TODAY(),"逾期",IF(A36=TODAY(),"今日","待办")))</x:f>
        <x:v>待办</x:v>
      </x:c>
    </x:row>
    <x:row r="37">
      <x:c r="A37" s="245" t="n">
        <x:v>46202</x:v>
      </x:c>
      <x:c r="B37" s="14" t="str">
        <x:v>周一</x:v>
      </x:c>
      <x:c r="C37" s="14" t="str">
        <x:v>M5</x:v>
      </x:c>
      <x:c r="D37" s="14" t="str">
        <x:v>19:00–21:00</x:v>
      </x:c>
      <x:c r="E37" s="14" t="str">
        <x:v>缓冲</x:v>
      </x:c>
      <x:c r="F37" s="14" t="str">
        <x:v>反馈处理</x:v>
      </x:c>
      <x:c r="G37" s="14" t="str">
        <x:v>P0</x:v>
      </x:c>
      <x:c r="H37" s="14" t="str">
        <x:v>处理 supervisor 反馈/严重错误</x:v>
      </x:c>
      <x:c r="I37" s="14" t="str">
        <x:v>仅处理反馈、编译故障或事实错误；无反馈则逐页视觉检查。</x:v>
      </x:c>
      <x:c r="J37" s="39" t="n">
        <x:v>2</x:v>
      </x:c>
      <x:c r="K37" s="14" t="str">
        <x:v>未开始</x:v>
      </x:c>
      <x:c r="L37" s="45" t="n">
        <x:v>0</x:v>
      </x:c>
      <x:c r="M37" s="39"/>
      <x:c r="N37" s="39" t="n">
        <x:f>J37*L37</x:f>
        <x:v>0</x:v>
      </x:c>
      <x:c r="O37" s="14" t="str"/>
      <x:c r="P37" s="14" t="str"/>
      <x:c r="Q37" s="14" t="str"/>
      <x:c r="R37" s="14" t="str"/>
      <x:c r="S37" s="20" t="str">
        <x:f>IF(OR(K37="已完成",K37="取消/不需要"),"",IF(A37&lt;TODAY(),"逾期",IF(A37=TODAY(),"今日","待办")))</x:f>
        <x:v>待办</x:v>
      </x:c>
    </x:row>
    <x:row r="38">
      <x:c r="A38" s="245" t="n">
        <x:v>46202</x:v>
      </x:c>
      <x:c r="B38" s="14" t="str">
        <x:v>周一</x:v>
      </x:c>
      <x:c r="C38" s="14" t="str">
        <x:v>M6</x:v>
      </x:c>
      <x:c r="D38" s="14" t="str">
        <x:v>21:15–22:30</x:v>
      </x:c>
      <x:c r="E38" s="14" t="str">
        <x:v>核心</x:v>
      </x:c>
      <x:c r="F38" s="14" t="str">
        <x:v>最终质检</x:v>
      </x:c>
      <x:c r="G38" s="14" t="str">
        <x:v>P1</x:v>
      </x:c>
      <x:c r="H38" s="14" t="str">
        <x:v>最终视觉检查</x:v>
      </x:c>
      <x:c r="I38" s="14" t="str">
        <x:v>检查孤行、超宽表格、图分辨率、标题断行、空白页、算法跨页和附录编号。</x:v>
      </x:c>
      <x:c r="J38" s="39" t="n">
        <x:v>1.25</x:v>
      </x:c>
      <x:c r="K38" s="14" t="str">
        <x:v>未开始</x:v>
      </x:c>
      <x:c r="L38" s="45" t="n">
        <x:v>0</x:v>
      </x:c>
      <x:c r="M38" s="39"/>
      <x:c r="N38" s="39" t="n">
        <x:f>J38*L38</x:f>
        <x:v>0</x:v>
      </x:c>
      <x:c r="O38" s="14" t="str"/>
      <x:c r="P38" s="14" t="str"/>
      <x:c r="Q38" s="14" t="str"/>
      <x:c r="R38" s="14" t="str"/>
      <x:c r="S38" s="20" t="str">
        <x:f>IF(OR(K38="已完成",K38="取消/不需要"),"",IF(A38&lt;TODAY(),"逾期",IF(A38=TODAY(),"今日","待办")))</x:f>
        <x:v>待办</x:v>
      </x:c>
    </x:row>
    <x:row r="39">
      <x:c r="A39" s="245" t="n">
        <x:v>46202</x:v>
      </x:c>
      <x:c r="B39" s="14" t="str">
        <x:v>周一</x:v>
      </x:c>
      <x:c r="C39" s="14" t="str">
        <x:v>M7</x:v>
      </x:c>
      <x:c r="D39" s="14" t="str">
        <x:v>22:30–23:00</x:v>
      </x:c>
      <x:c r="E39" s="14" t="str">
        <x:v>核心</x:v>
      </x:c>
      <x:c r="F39" s="14" t="str">
        <x:v>归档</x:v>
      </x:c>
      <x:c r="G39" s="14" t="str">
        <x:v>P1</x:v>
      </x:c>
      <x:c r="H39" s="14" t="str">
        <x:v>归档最终版本</x:v>
      </x:c>
      <x:c r="I39" s="14" t="str">
        <x:v>commit、tag、备份源码/PDF，并记录不影响提交的 P2 问题。</x:v>
      </x:c>
      <x:c r="J39" s="39" t="n">
        <x:v>0.5</x:v>
      </x:c>
      <x:c r="K39" s="14" t="str">
        <x:v>未开始</x:v>
      </x:c>
      <x:c r="L39" s="45" t="n">
        <x:v>0</x:v>
      </x:c>
      <x:c r="M39" s="39"/>
      <x:c r="N39" s="39" t="n">
        <x:f>J39*L39</x:f>
        <x:v>0</x:v>
      </x:c>
      <x:c r="O39" s="14" t="str"/>
      <x:c r="P39" s="14" t="str"/>
      <x:c r="Q39" s="14" t="str"/>
      <x:c r="R39" s="14" t="str"/>
      <x:c r="S39" s="20" t="str">
        <x:f>IF(OR(K39="已完成",K39="取消/不需要"),"",IF(A39&lt;TODAY(),"逾期",IF(A39=TODAY(),"今日","待办")))</x:f>
        <x:v>待办</x:v>
      </x:c>
    </x:row>
    <x:row r="40">
      <x:c r="A40" s="245" t="n">
        <x:v>46203</x:v>
      </x:c>
      <x:c r="B40" s="14" t="str">
        <x:v>周二</x:v>
      </x:c>
      <x:c r="C40" s="14" t="str">
        <x:v>E1</x:v>
      </x:c>
      <x:c r="D40" s="14" t="str">
        <x:v>09:30–11:30</x:v>
      </x:c>
      <x:c r="E40" s="14" t="str">
        <x:v>缓冲</x:v>
      </x:c>
      <x:c r="F40" s="14" t="str">
        <x:v>应急缓冲</x:v>
      </x:c>
      <x:c r="G40" s="14" t="str">
        <x:v>P0</x:v>
      </x:c>
      <x:c r="H40" s="14" t="str">
        <x:v>处理明确反馈或致命问题</x:v>
      </x:c>
      <x:c r="I40" s="14" t="str">
        <x:v>只处理导师明确指出的错误、编译故障、格式要求或缺失材料。</x:v>
      </x:c>
      <x:c r="J40" s="39" t="n">
        <x:v>2</x:v>
      </x:c>
      <x:c r="K40" s="14" t="str">
        <x:v>未开始</x:v>
      </x:c>
      <x:c r="L40" s="45" t="n">
        <x:v>0</x:v>
      </x:c>
      <x:c r="M40" s="39"/>
      <x:c r="N40" s="39" t="n">
        <x:f>J40*L40</x:f>
        <x:v>0</x:v>
      </x:c>
      <x:c r="O40" s="14" t="str"/>
      <x:c r="P40" s="14" t="str"/>
      <x:c r="Q40" s="14" t="str"/>
      <x:c r="R40" s="14" t="str"/>
      <x:c r="S40" s="20" t="str">
        <x:f>IF(OR(K40="已完成",K40="取消/不需要"),"",IF(A40&lt;TODAY(),"逾期",IF(A40=TODAY(),"今日","待办")))</x:f>
        <x:v>待办</x:v>
      </x:c>
    </x:row>
    <x:row r="41">
      <x:c r="A41" s="246" t="n">
        <x:v>46203</x:v>
      </x:c>
      <x:c r="B41" s="22" t="str">
        <x:v>周二</x:v>
      </x:c>
      <x:c r="C41" s="22" t="str">
        <x:v>E2</x:v>
      </x:c>
      <x:c r="D41" s="22" t="str">
        <x:v>11:30–12:00</x:v>
      </x:c>
      <x:c r="E41" s="22" t="str">
        <x:v>缓冲</x:v>
      </x:c>
      <x:c r="F41" s="22" t="str">
        <x:v>最终提交</x:v>
      </x:c>
      <x:c r="G41" s="22" t="str">
        <x:v>P0</x:v>
      </x:c>
      <x:c r="H41" s="22" t="str">
        <x:v>最终 clean build 与提交</x:v>
      </x:c>
      <x:c r="I41" s="22" t="str">
        <x:v>核对最终 PDF 并提交；12:00 后停止自行开启新修改。</x:v>
      </x:c>
      <x:c r="J41" s="40" t="n">
        <x:v>0.5</x:v>
      </x:c>
      <x:c r="K41" s="22" t="str">
        <x:v>未开始</x:v>
      </x:c>
      <x:c r="L41" s="46" t="n">
        <x:v>0</x:v>
      </x:c>
      <x:c r="M41" s="40"/>
      <x:c r="N41" s="40" t="n">
        <x:f>J41*L41</x:f>
        <x:v>0</x:v>
      </x:c>
      <x:c r="O41" s="22" t="str"/>
      <x:c r="P41" s="22" t="str"/>
      <x:c r="Q41" s="22" t="str"/>
      <x:c r="R41" s="22" t="str"/>
      <x:c r="S41" s="23" t="str">
        <x:f>IF(OR(K41="已完成",K41="取消/不需要"),"",IF(A41&lt;TODAY(),"逾期",IF(A41=TODAY(),"今日","待办")))</x:f>
        <x:v>待办</x:v>
      </x:c>
    </x:row>
  </x:sheetData>
  <x:conditionalFormatting sqref="K2:K41">
    <x:cfRule type="expression" dxfId="0" priority="1">
      <x:formula>K2="已完成"</x:formula>
    </x:cfRule>
    <x:cfRule type="expression" dxfId="1" priority="2">
      <x:formula>K2="进行中"</x:formula>
    </x:cfRule>
    <x:cfRule type="expression" dxfId="2" priority="3">
      <x:formula>K2="阻塞"</x:formula>
    </x:cfRule>
    <x:cfRule type="expression" dxfId="12" priority="7">
      <x:formula>K2="完成"</x:formula>
    </x:cfRule>
    <x:cfRule type="expression" dxfId="13" priority="8">
      <x:formula>K2="进行中"</x:formula>
    </x:cfRule>
    <x:cfRule type="expression" dxfId="14" priority="9">
      <x:formula>K2="阻塞"</x:formula>
    </x:cfRule>
  </x:conditionalFormatting>
  <x:conditionalFormatting sqref="G2:G41">
    <x:cfRule type="expression" dxfId="3" priority="4">
      <x:formula>G2="P0"</x:formula>
    </x:cfRule>
    <x:cfRule type="expression" dxfId="15" priority="10">
      <x:formula>G2="P0"</x:formula>
    </x:cfRule>
  </x:conditionalFormatting>
  <x:conditionalFormatting sqref="S2:S41">
    <x:cfRule type="expression" dxfId="4" priority="5">
      <x:formula>S2="逾期"</x:formula>
    </x:cfRule>
  </x:conditionalFormatting>
  <x:conditionalFormatting sqref="L2:L41">
    <x:cfRule type="dataBar" priority="6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{C2E45FAD-9E3E-0FDB-6BD4-D1ADAB6A8A48}</x14:id>
        </x:ext>
      </x:extLst>
    </x:cfRule>
  </x:conditionalFormatting>
  <x:dataValidations count="4">
    <x:dataValidation type="list" sqref="E2:E41">
      <x:formula1>"核心,缓冲,可选"</x:formula1>
    </x:dataValidation>
    <x:dataValidation type="list" sqref="G2:G41">
      <x:formula1>"P0,P1,P2"</x:formula1>
    </x:dataValidation>
    <x:dataValidation type="list" sqref="K2:K41">
      <x:formula1>"未开始,进行中,完成,部分完成,阻塞,跳过"</x:formula1>
    </x:dataValidation>
    <x:dataValidation type="list" sqref="L2:L41">
      <x:formula1>"0,0.25,0.5,0.75,1"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8a73d798c149c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2E45FAD-9E3E-0FDB-6BD4-D1ADAB6A8A48}">
            <x14:dataBar gradient="1">
              <x14:cfvo type="min"/>
              <x14:cfvo type="max"/>
              <x14:fillColor rgb="FF156082"/>
            </x14:dataBar>
          </x14:cfRule>
          <xm:sqref>L2:L41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4" hidden="0" customWidth="1"/>
    <x:col min="13" max="13" width="34" hidden="0" customWidth="1"/>
    <x:col min="14" max="14" width="34" hidden="0" customWidth="1"/>
    <x:col min="15" max="15" width="24" hidden="0" customWidth="1"/>
  </x:cols>
  <x:sheetData>
    <x:row r="1" ht="36" customHeight="1">
      <x:c r="A1" s="256" t="str">
        <x:v>日期</x:v>
      </x:c>
      <x:c r="B1" s="256" t="str">
        <x:v>计划核心小时</x:v>
      </x:c>
      <x:c r="C1" s="256" t="str">
        <x:v>实际小时</x:v>
      </x:c>
      <x:c r="D1" s="256" t="str">
        <x:v>计划块数</x:v>
      </x:c>
      <x:c r="E1" s="256" t="str">
        <x:v>完成块数</x:v>
      </x:c>
      <x:c r="F1" s="256" t="str">
        <x:v>完成率</x:v>
      </x:c>
      <x:c r="G1" s="256" t="str">
        <x:v>新增词数</x:v>
      </x:c>
      <x:c r="H1" s="256" t="str">
        <x:v>图片占位符剩余</x:v>
      </x:c>
      <x:c r="I1" s="256" t="str">
        <x:v>编译错误</x:v>
      </x:c>
      <x:c r="J1" s="256" t="str">
        <x:v>未定义引用/文献</x:v>
      </x:c>
      <x:c r="K1" s="256" t="str">
        <x:v>当日状态</x:v>
      </x:c>
      <x:c r="L1" s="256" t="str">
        <x:v>完成摘要</x:v>
      </x:c>
      <x:c r="M1" s="256" t="str">
        <x:v>最大阻塞</x:v>
      </x:c>
      <x:c r="N1" s="256" t="str">
        <x:v>明日首要任务</x:v>
      </x:c>
      <x:c r="O1" s="256" t="str">
        <x:v>备注</x:v>
      </x:c>
    </x:row>
    <x:row r="2">
      <x:c r="A2" s="244" t="n">
        <x:v>46196</x:v>
      </x:c>
      <x:c r="B2" s="38" t="n">
        <x:f>SUMIFS('任务清单'!$J$2:$J$41,'任务清单'!$A$2:$A$41,A2,'任务清单'!$E$2:$E$41,"核心")</x:f>
        <x:v>3.75</x:v>
      </x:c>
      <x:c r="C2" s="38" t="n">
        <x:v>3.85</x:v>
      </x:c>
      <x:c r="D2" s="38" t="n">
        <x:f>COUNTIFS('任务清单'!$A$2:$A$41,A2,'任务清单'!$E$2:$E$41,"核心")</x:f>
        <x:v>4</x:v>
      </x:c>
      <x:c r="E2" s="38" t="n">
        <x:f>COUNTIFS('任务清单'!$A$2:$A$41,A2,'任务清单'!$E$2:$E$41,"核心",'任务清单'!$K$2:$K$41,"已完成")</x:f>
        <x:v>2</x:v>
      </x:c>
      <x:c r="F2" s="44" t="n">
        <x:f>IFERROR(E2/D2,0)</x:f>
        <x:v>0.5</x:v>
      </x:c>
      <x:c r="G2" s="248"/>
      <x:c r="H2" s="248" t="n">
        <x:v>13</x:v>
      </x:c>
      <x:c r="I2" s="248" t="str">
        <x:v>待确认</x:v>
      </x:c>
      <x:c r="J2" s="248" t="str">
        <x:v>待确认</x:v>
      </x:c>
      <x:c r="K2" s="17" t="str">
        <x:v>基本完成</x:v>
      </x:c>
      <x:c r="L2" s="17" t="str">
        <x:v>T2 thesis spine completed and frozen；Chapter 1 six-section skeleton completed；Zotero-assisted Chapter 1 Introduction drafting delegated to Codex；citation verification rule updated to PDF-first.</x:v>
      </x:c>
      <x:c r="M2" s="17" t="str">
        <x:v>Codex final writing output and final build status 未检查。</x:v>
      </x:c>
      <x:c r="N2" s="17" t="str">
        <x:v>Review Codex report only: files changed, citation plan, undefined citations, Chapter 1 word count, build status；then continue Chapter 1 polish or move to Chapter 2 according to tracker.</x:v>
      </x:c>
      <x:c r="O2" s="18" t="str">
        <x:v>22:51 日终停止；今晚休息，不再进入全文重写。</x:v>
      </x:c>
    </x:row>
    <x:row r="3">
      <x:c r="A3" s="247" t="n">
        <x:v>46197</x:v>
      </x:c>
      <x:c r="B3" s="39" t="n">
        <x:f>SUMIFS('任务清单'!$J$2:$J$41,'任务清单'!$A$2:$A$41,A3,'任务清单'!$E$2:$E$41,"核心")</x:f>
        <x:v>8.16</x:v>
      </x:c>
      <x:c r="C3" s="39"/>
      <x:c r="D3" s="39" t="n">
        <x:f>COUNTIFS('任务清单'!$A$2:$A$41,A3,'任务清单'!$E$2:$E$41,"核心")</x:f>
        <x:v>7</x:v>
      </x:c>
      <x:c r="E3" s="39" t="n">
        <x:f>COUNTIFS('任务清单'!$A$2:$A$41,A3,'任务清单'!$E$2:$E$41,"核心",'任务清单'!$K$2:$K$41,"已完成")</x:f>
        <x:v>1</x:v>
      </x:c>
      <x:c r="F3" s="45" t="n">
        <x:f>IFERROR(E3/D3,0)</x:f>
        <x:v>0.14285714285714285</x:v>
      </x:c>
      <x:c r="G3" s="249"/>
      <x:c r="H3" s="249" t="n">
        <x:v>13</x:v>
      </x:c>
      <x:c r="I3" s="249" t="str">
        <x:v>待确认</x:v>
      </x:c>
      <x:c r="J3" s="249" t="str">
        <x:v>待确认</x:v>
      </x:c>
      <x:c r="K3" s="14" t="str">
        <x:v>15:00 重排后执行中</x:v>
      </x:c>
      <x:c r="L3" s="14" t="str">
        <x:v>上午完成工作流重构与 tracker 初始化准备；15:00 才正式回到论文。今日目标进一步降级为：验收 Chapter 1、最小 polish、启动 Chapter 2。</x:v>
      </x:c>
      <x:c r="M3" s="14" t="str">
        <x:v>上午写作时间被工作流占用；Chapter 1 Codex 输出和 build status 尚未验收；Chapter 2 尚未启动。</x:v>
      </x:c>
      <x:c r="N3" s="14" t="str">
        <x:v>15:00 起先验收 Codex report；下午让 Chapter 1 进入可接受初稿；晚上建立 Chapter 2 文献矩阵并写开头 600–1,000 词。</x:v>
      </x:c>
      <x:c r="O3" s="14" t="str">
        <x:v>若 Chapter 1 需要返工，则今晚 Chapter 2 只保留文献矩阵，不硬写正文。</x:v>
      </x:c>
    </x:row>
    <x:row r="4">
      <x:c r="A4" s="245" t="n">
        <x:v>46198</x:v>
      </x:c>
      <x:c r="B4" s="39" t="n">
        <x:f>SUMIFS('任务清单'!$J$2:$J$41,'任务清单'!$A$2:$A$41,A4,'任务清单'!$E$2:$E$41,"核心")</x:f>
        <x:v>7.08</x:v>
      </x:c>
      <x:c r="C4" s="39"/>
      <x:c r="D4" s="39" t="n">
        <x:f>COUNTIFS('任务清单'!$A$2:$A$41,A4,'任务清单'!$E$2:$E$41,"核心")</x:f>
        <x:v>5</x:v>
      </x:c>
      <x:c r="E4" s="39" t="n">
        <x:f>COUNTIFS('任务清单'!$A$2:$A$41,A4,'任务清单'!$E$2:$E$41,"核心",'任务清单'!$K$2:$K$41,"已完成")</x:f>
        <x:v>0</x:v>
      </x:c>
      <x:c r="F4" s="45" t="n">
        <x:f>IFERROR(E4/D4,0)</x:f>
        <x:v>0</x:v>
      </x:c>
      <x:c r="G4" s="249"/>
      <x:c r="H4" s="249"/>
      <x:c r="I4" s="249"/>
      <x:c r="J4" s="249"/>
      <x:c r="K4" s="14" t="str">
        <x:v>未开始</x:v>
      </x:c>
      <x:c r="L4" s="14" t="str"/>
      <x:c r="M4" s="14" t="str"/>
      <x:c r="N4" s="14" t="str"/>
      <x:c r="O4" s="20" t="str"/>
    </x:row>
    <x:row r="5">
      <x:c r="A5" s="245" t="n">
        <x:v>46199</x:v>
      </x:c>
      <x:c r="B5" s="39" t="n">
        <x:f>SUMIFS('任务清单'!$J$2:$J$41,'任务清单'!$A$2:$A$41,A5,'任务清单'!$E$2:$E$41,"核心")</x:f>
        <x:v>7.33</x:v>
      </x:c>
      <x:c r="C5" s="39"/>
      <x:c r="D5" s="39" t="n">
        <x:f>COUNTIFS('任务清单'!$A$2:$A$41,A5,'任务清单'!$E$2:$E$41,"核心")</x:f>
        <x:v>6</x:v>
      </x:c>
      <x:c r="E5" s="39" t="n">
        <x:f>COUNTIFS('任务清单'!$A$2:$A$41,A5,'任务清单'!$E$2:$E$41,"核心",'任务清单'!$K$2:$K$41,"已完成")</x:f>
        <x:v>0</x:v>
      </x:c>
      <x:c r="F5" s="45" t="n">
        <x:f>IFERROR(E5/D5,0)</x:f>
        <x:v>0</x:v>
      </x:c>
      <x:c r="G5" s="249"/>
      <x:c r="H5" s="249"/>
      <x:c r="I5" s="249"/>
      <x:c r="J5" s="249"/>
      <x:c r="K5" s="14" t="str">
        <x:v>未开始</x:v>
      </x:c>
      <x:c r="L5" s="14" t="str"/>
      <x:c r="M5" s="14" t="str"/>
      <x:c r="N5" s="14" t="str"/>
      <x:c r="O5" s="20" t="str"/>
    </x:row>
    <x:row r="6">
      <x:c r="A6" s="245" t="n">
        <x:v>46200</x:v>
      </x:c>
      <x:c r="B6" s="39" t="n">
        <x:f>SUMIFS('任务清单'!$J$2:$J$41,'任务清单'!$A$2:$A$41,A6,'任务清单'!$E$2:$E$41,"核心")</x:f>
        <x:v>0</x:v>
      </x:c>
      <x:c r="C6" s="39"/>
      <x:c r="D6" s="39" t="n">
        <x:f>COUNTIFS('任务清单'!$A$2:$A$41,A6,'任务清单'!$E$2:$E$41,"核心")</x:f>
        <x:v>0</x:v>
      </x:c>
      <x:c r="E6" s="39" t="n">
        <x:f>COUNTIFS('任务清单'!$A$2:$A$41,A6,'任务清单'!$E$2:$E$41,"核心",'任务清单'!$K$2:$K$41,"已完成")</x:f>
        <x:v>0</x:v>
      </x:c>
      <x:c r="F6" s="45" t="n">
        <x:f>IFERROR(E6/D6,0)</x:f>
        <x:v>0</x:v>
      </x:c>
      <x:c r="G6" s="249"/>
      <x:c r="H6" s="249"/>
      <x:c r="I6" s="249"/>
      <x:c r="J6" s="249"/>
      <x:c r="K6" s="14" t="str">
        <x:v>未开始</x:v>
      </x:c>
      <x:c r="L6" s="14" t="str"/>
      <x:c r="M6" s="14" t="str"/>
      <x:c r="N6" s="14" t="str"/>
      <x:c r="O6" s="20" t="str"/>
    </x:row>
    <x:row r="7">
      <x:c r="A7" s="245" t="n">
        <x:v>46201</x:v>
      </x:c>
      <x:c r="B7" s="39" t="n">
        <x:f>SUMIFS('任务清单'!$J$2:$J$41,'任务清单'!$A$2:$A$41,A7,'任务清单'!$E$2:$E$41,"核心")</x:f>
        <x:v>9</x:v>
      </x:c>
      <x:c r="C7" s="39"/>
      <x:c r="D7" s="39" t="n">
        <x:f>COUNTIFS('任务清单'!$A$2:$A$41,A7,'任务清单'!$E$2:$E$41,"核心")</x:f>
        <x:v>6</x:v>
      </x:c>
      <x:c r="E7" s="39" t="n">
        <x:f>COUNTIFS('任务清单'!$A$2:$A$41,A7,'任务清单'!$E$2:$E$41,"核心",'任务清单'!$K$2:$K$41,"已完成")</x:f>
        <x:v>0</x:v>
      </x:c>
      <x:c r="F7" s="45" t="n">
        <x:f>IFERROR(E7/D7,0)</x:f>
        <x:v>0</x:v>
      </x:c>
      <x:c r="G7" s="249"/>
      <x:c r="H7" s="249"/>
      <x:c r="I7" s="249"/>
      <x:c r="J7" s="249"/>
      <x:c r="K7" s="14" t="str">
        <x:v>未开始</x:v>
      </x:c>
      <x:c r="L7" s="14" t="str"/>
      <x:c r="M7" s="14" t="str"/>
      <x:c r="N7" s="14" t="str"/>
      <x:c r="O7" s="20" t="str"/>
    </x:row>
    <x:row r="8">
      <x:c r="A8" s="245" t="n">
        <x:v>46202</x:v>
      </x:c>
      <x:c r="B8" s="39" t="n">
        <x:f>SUMIFS('任务清单'!$J$2:$J$41,'任务清单'!$A$2:$A$41,A8,'任务清单'!$E$2:$E$41,"核心")</x:f>
        <x:v>4.75</x:v>
      </x:c>
      <x:c r="C8" s="39"/>
      <x:c r="D8" s="39" t="n">
        <x:f>COUNTIFS('任务清单'!$A$2:$A$41,A8,'任务清单'!$E$2:$E$41,"核心")</x:f>
        <x:v>6</x:v>
      </x:c>
      <x:c r="E8" s="39" t="n">
        <x:f>COUNTIFS('任务清单'!$A$2:$A$41,A8,'任务清单'!$E$2:$E$41,"核心",'任务清单'!$K$2:$K$41,"已完成")</x:f>
        <x:v>0</x:v>
      </x:c>
      <x:c r="F8" s="45" t="n">
        <x:f>IFERROR(E8/D8,0)</x:f>
        <x:v>0</x:v>
      </x:c>
      <x:c r="G8" s="249"/>
      <x:c r="H8" s="249"/>
      <x:c r="I8" s="249"/>
      <x:c r="J8" s="249"/>
      <x:c r="K8" s="14" t="str">
        <x:v>未开始</x:v>
      </x:c>
      <x:c r="L8" s="14" t="str"/>
      <x:c r="M8" s="14" t="str"/>
      <x:c r="N8" s="14" t="str"/>
      <x:c r="O8" s="20" t="str"/>
    </x:row>
    <x:row r="9">
      <x:c r="A9" s="246" t="n">
        <x:v>46203</x:v>
      </x:c>
      <x:c r="B9" s="40" t="n">
        <x:f>SUMIFS('任务清单'!$J$2:$J$41,'任务清单'!$A$2:$A$41,A9,'任务清单'!$E$2:$E$41,"核心")</x:f>
        <x:v>0</x:v>
      </x:c>
      <x:c r="C9" s="40"/>
      <x:c r="D9" s="40" t="n">
        <x:f>COUNTIFS('任务清单'!$A$2:$A$41,A9,'任务清单'!$E$2:$E$41,"核心")</x:f>
        <x:v>0</x:v>
      </x:c>
      <x:c r="E9" s="40" t="n">
        <x:f>COUNTIFS('任务清单'!$A$2:$A$41,A9,'任务清单'!$E$2:$E$41,"核心",'任务清单'!$K$2:$K$41,"已完成")</x:f>
        <x:v>0</x:v>
      </x:c>
      <x:c r="F9" s="46" t="n">
        <x:f>IFERROR(E9/D9,0)</x:f>
        <x:v>0</x:v>
      </x:c>
      <x:c r="G9" s="250"/>
      <x:c r="H9" s="250"/>
      <x:c r="I9" s="250"/>
      <x:c r="J9" s="250"/>
      <x:c r="K9" s="22" t="str">
        <x:v>未开始</x:v>
      </x:c>
      <x:c r="L9" s="22" t="str"/>
      <x:c r="M9" s="22" t="str"/>
      <x:c r="N9" s="22" t="str"/>
      <x:c r="O9" s="23" t="str"/>
    </x:row>
  </x:sheetData>
  <x:conditionalFormatting sqref="K2:K9">
    <x:cfRule type="expression" dxfId="5" priority="1">
      <x:formula>K2="按计划"</x:formula>
    </x:cfRule>
    <x:cfRule type="expression" dxfId="6" priority="2">
      <x:formula>OR(K2="高风险",K2="阻塞")</x:formula>
    </x:cfRule>
  </x:conditionalFormatting>
  <x:conditionalFormatting sqref="F2:F9">
    <x:cfRule type="dataBar" priority="3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{A7F72B4F-1443-3C4C-DCCA-C7926F6ED404}</x14:id>
        </x:ext>
      </x:extLst>
    </x:cfRule>
  </x:conditionalFormatting>
  <x:dataValidations count="1">
    <x:dataValidation type="list" sqref="K2:K9">
      <x:formula1>"未开始,正常,偏慢,高风险,完成,阻塞"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43269ab1a4468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A7F72B4F-1443-3C4C-DCCA-C7926F6ED404}">
            <x14:dataBar gradient="1">
              <x14:cfvo type="min"/>
              <x14:cfvo type="max"/>
              <x14:fillColor rgb="FF156082"/>
            </x14:dataBar>
          </x14:cfRule>
          <xm:sqref>F2:F9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9" hidden="0" customWidth="1"/>
    <x:col min="3" max="3" width="24" hidden="0" customWidth="1"/>
    <x:col min="4" max="4" width="55" hidden="0" customWidth="1"/>
    <x:col min="5" max="5" width="10" hidden="0" customWidth="1"/>
    <x:col min="6" max="6" width="10" hidden="0" customWidth="1"/>
    <x:col min="7" max="7" width="19" hidden="0" customWidth="1"/>
    <x:col min="8" max="8" width="30" hidden="0" customWidth="1"/>
    <x:col min="9" max="9" width="25" hidden="0" customWidth="1"/>
  </x:cols>
  <x:sheetData>
    <x:row r="1" ht="34" customHeight="1">
      <x:c r="A1" s="256" t="str">
        <x:v>编号</x:v>
      </x:c>
      <x:c r="B1" s="256" t="str">
        <x:v>截止时间</x:v>
      </x:c>
      <x:c r="C1" s="256" t="str">
        <x:v>里程碑</x:v>
      </x:c>
      <x:c r="D1" s="256" t="str">
        <x:v>验收条件</x:v>
      </x:c>
      <x:c r="E1" s="256" t="str">
        <x:v>优先级</x:v>
      </x:c>
      <x:c r="F1" s="256" t="str">
        <x:v>状态</x:v>
      </x:c>
      <x:c r="G1" s="256" t="str">
        <x:v>完成时间</x:v>
      </x:c>
      <x:c r="H1" s="256" t="str">
        <x:v>产出/证据</x:v>
      </x:c>
      <x:c r="I1" s="256" t="str">
        <x:v>备注</x:v>
      </x:c>
    </x:row>
    <x:row r="2">
      <x:c r="A2" s="16" t="str">
        <x:v>MS-01</x:v>
      </x:c>
      <x:c r="B2" s="251" t="n">
        <x:v>46196.958333333336</x:v>
      </x:c>
      <x:c r="C2" s="17" t="str">
        <x:v>论文主线冻结</x:v>
      </x:c>
      <x:c r="D2" s="17" t="str">
        <x:v>thesis spine 冻结；Chapter 1 已开始；baseline build 或阻塞原因明确。</x:v>
      </x:c>
      <x:c r="E2" s="17" t="str">
        <x:v>P0</x:v>
      </x:c>
      <x:c r="F2" s="17" t="str">
        <x:v>进行中</x:v>
      </x:c>
      <x:c r="G2" s="50"/>
      <x:c r="H2" s="17" t="str">
        <x:v>T2 spine frozen；Chapter 1 skeleton completed；Chapter 1 drafting delegated to Codex。</x:v>
      </x:c>
      <x:c r="I2" s="18" t="str">
        <x:v>baseline/final build status still pending review on 06/24, so MS-01 is not marked completed yet.</x:v>
      </x:c>
    </x:row>
    <x:row r="3">
      <x:c r="A3" s="14" t="str">
        <x:v>MS-02</x:v>
      </x:c>
      <x:c r="B3" s="252" t="n">
        <x:v>46197.958333333336</x:v>
      </x:c>
      <x:c r="C3" s="14" t="str">
        <x:v>Chapter 1 验收 + Chapter 2 启动</x:v>
      </x:c>
      <x:c r="D3" s="14" t="str">
        <x:v>由于 6/24 上午用于工作流重构，且 15:00 才正式回到论文，本日里程碑降级为：Chapter 1 已验收并进入可接受初稿或明确返工；Chapter 2 完成文献矩阵，并尽量写出开头 600–1,000 词；tracker 新工作流可用于 Codex 初始化。</x:v>
      </x:c>
      <x:c r="E3" s="14" t="str">
        <x:v>P0</x:v>
      </x:c>
      <x:c r="F3" s="14" t="str">
        <x:v>进行中</x:v>
      </x:c>
      <x:c r="G3" s="51"/>
      <x:c r="H3" s="14" t="str">
        <x:v>6/24 15:00 重排版任务已写入 tracker；Chapter 1 review pending；Chapter 2 尚未启动。</x:v>
      </x:c>
      <x:c r="I3" s="14" t="str">
        <x:v>原 Chapter 2 30% 目标降级；6/25 需重点补 Chapter 2 完整初稿。</x:v>
      </x:c>
    </x:row>
    <x:row r="4">
      <x:c r="A4" s="19" t="str">
        <x:v>MS-03</x:v>
      </x:c>
      <x:c r="B4" s="252" t="n">
        <x:v>46198.96875</x:v>
      </x:c>
      <x:c r="C4" s="14" t="str">
        <x:v>Chapter 1–2 完整</x:v>
      </x:c>
      <x:c r="D4" s="14" t="str">
        <x:v>两章均有完整初稿；research gaps 与 RQ 对齐。</x:v>
      </x:c>
      <x:c r="E4" s="14" t="str">
        <x:v>P0</x:v>
      </x:c>
      <x:c r="F4" s="14" t="str">
        <x:v>未开始</x:v>
      </x:c>
      <x:c r="G4" s="51"/>
      <x:c r="H4" s="14" t="str"/>
      <x:c r="I4" s="20" t="str"/>
    </x:row>
    <x:row r="5">
      <x:c r="A5" s="19" t="str">
        <x:v>MS-04</x:v>
      </x:c>
      <x:c r="B5" s="252" t="n">
        <x:v>46199.96875</x:v>
      </x:c>
      <x:c r="C5" s="14" t="str">
        <x:v>技术风险受控</x:v>
      </x:c>
      <x:c r="D5" s="14" t="str">
        <x:v>Chapter 3 整合完成；Chapter 4 数学风险受控；主要编号/引用修复。</x:v>
      </x:c>
      <x:c r="E5" s="14" t="str">
        <x:v>P0</x:v>
      </x:c>
      <x:c r="F5" s="14" t="str">
        <x:v>未开始</x:v>
      </x:c>
      <x:c r="G5" s="51"/>
      <x:c r="H5" s="14" t="str"/>
      <x:c r="I5" s="20" t="str"/>
    </x:row>
    <x:row r="6">
      <x:c r="A6" s="19" t="str">
        <x:v>MS-05</x:v>
      </x:c>
      <x:c r="B6" s="252" t="n">
        <x:v>46201.958333333336</x:v>
      </x:c>
      <x:c r="C6" s="14" t="str">
        <x:v>内容冻结</x:v>
      </x:c>
      <x:c r="D6" s="14" t="str">
        <x:v>所有章节、图、摘要和前置部分完整；无 TODO/placeholder；生成冻结 PDF。</x:v>
      </x:c>
      <x:c r="E6" s="14" t="str">
        <x:v>P0</x:v>
      </x:c>
      <x:c r="F6" s="14" t="str">
        <x:v>未开始</x:v>
      </x:c>
      <x:c r="G6" s="51"/>
      <x:c r="H6" s="14" t="str"/>
      <x:c r="I6" s="20" t="str"/>
    </x:row>
    <x:row r="7">
      <x:c r="A7" s="19" t="str">
        <x:v>MS-06</x:v>
      </x:c>
      <x:c r="B7" s="252" t="n">
        <x:v>46202.520833333336</x:v>
      </x:c>
      <x:c r="C7" s="14" t="str">
        <x:v>Supervisor-ready 提交</x:v>
      </x:c>
      <x:c r="D7" s="14" t="str">
        <x:v>干净编译、结果一致、视觉检查通过；PDF 已发送 supervisor。</x:v>
      </x:c>
      <x:c r="E7" s="14" t="str">
        <x:v>P0</x:v>
      </x:c>
      <x:c r="F7" s="14" t="str">
        <x:v>未开始</x:v>
      </x:c>
      <x:c r="G7" s="51"/>
      <x:c r="H7" s="14" t="str"/>
      <x:c r="I7" s="20" t="str"/>
    </x:row>
    <x:row r="8">
      <x:c r="A8" s="21" t="str">
        <x:v>MS-07</x:v>
      </x:c>
      <x:c r="B8" s="253" t="n">
        <x:v>46203.5</x:v>
      </x:c>
      <x:c r="C8" s="22" t="str">
        <x:v>最终应急截止</x:v>
      </x:c>
      <x:c r="D8" s="22" t="str">
        <x:v>仅修复明确错误；最终 clean build 和提交完成。</x:v>
      </x:c>
      <x:c r="E8" s="22" t="str">
        <x:v>P0</x:v>
      </x:c>
      <x:c r="F8" s="22" t="str">
        <x:v>未开始</x:v>
      </x:c>
      <x:c r="G8" s="52"/>
      <x:c r="H8" s="22" t="str"/>
      <x:c r="I8" s="23" t="str"/>
    </x:row>
  </x:sheetData>
  <x:conditionalFormatting sqref="F2:F8">
    <x:cfRule type="expression" dxfId="7" priority="1">
      <x:formula>F2="已完成"</x:formula>
    </x:cfRule>
    <x:cfRule type="expression" dxfId="8" priority="2">
      <x:formula>OR(F2="高风险",F2="错过")</x:formula>
    </x:cfRule>
  </x:conditionalFormatting>
  <x:dataValidations count="1">
    <x:dataValidation type="list" sqref="F2:F8">
      <x:formula1>"未开始,进行中,完成,部分完成,阻塞"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33a304d518481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8" hidden="0" customWidth="1"/>
    <x:col min="4" max="4" width="16" hidden="0" customWidth="1"/>
    <x:col min="5" max="5" width="18" hidden="0" customWidth="1"/>
    <x:col min="6" max="6" width="54" hidden="0" customWidth="1"/>
    <x:col min="7" max="7" width="11" hidden="0" customWidth="1"/>
    <x:col min="8" max="8" width="19" hidden="0" customWidth="1"/>
    <x:col min="9" max="9" width="40" hidden="0" customWidth="1"/>
    <x:col min="10" max="10" width="18" hidden="0" customWidth="1"/>
    <x:col min="11" max="11" width="25" hidden="0" customWidth="1"/>
  </x:cols>
  <x:sheetData>
    <x:row r="1" ht="34" customHeight="1">
      <x:c r="A1" s="256" t="str">
        <x:v>编号</x:v>
      </x:c>
      <x:c r="B1" s="256" t="str">
        <x:v>发现日期</x:v>
      </x:c>
      <x:c r="C1" s="256" t="str">
        <x:v>优先级</x:v>
      </x:c>
      <x:c r="D1" s="256" t="str">
        <x:v>类型</x:v>
      </x:c>
      <x:c r="E1" s="256" t="str">
        <x:v>位置</x:v>
      </x:c>
      <x:c r="F1" s="256" t="str">
        <x:v>问题描述</x:v>
      </x:c>
      <x:c r="G1" s="256" t="str">
        <x:v>状态</x:v>
      </x:c>
      <x:c r="H1" s="256" t="str">
        <x:v>截止时间</x:v>
      </x:c>
      <x:c r="I1" s="256" t="str">
        <x:v>解决方案/结论</x:v>
      </x:c>
      <x:c r="J1" s="256" t="str">
        <x:v>负责人</x:v>
      </x:c>
      <x:c r="K1" s="256" t="str">
        <x:v>备注</x:v>
      </x:c>
    </x:row>
    <x:row r="2">
      <x:c r="A2" s="16" t="str">
        <x:v>ISS-001</x:v>
      </x:c>
      <x:c r="B2" s="254" t="n">
        <x:v>46196</x:v>
      </x:c>
      <x:c r="C2" s="17" t="str">
        <x:v>P0</x:v>
      </x:c>
      <x:c r="D2" s="17" t="str">
        <x:v>叙事完整性</x:v>
      </x:c>
      <x:c r="E2" s="17" t="str">
        <x:v>Chapter 1</x:v>
      </x:c>
      <x:c r="F2" s="17" t="str">
        <x:v>Chapter 1 当前基本为空，需要建立 thesis-level 总论与 RQ。</x:v>
      </x:c>
      <x:c r="G2" s="17" t="str">
        <x:v>处理中</x:v>
      </x:c>
      <x:c r="H2" s="251" t="n">
        <x:v>46197.958333333336</x:v>
      </x:c>
      <x:c r="I2" s="17" t="str">
        <x:v>Chapter 1 six-section skeleton completed; Zotero-assisted Introduction drafting delegated to Codex; review output on 06/24 before polishing.</x:v>
      </x:c>
      <x:c r="J2" s="17" t="str">
        <x:v>本人 / ChatGPT / Codex</x:v>
      </x:c>
      <x:c r="K2" s="18" t="str">
        <x:v>Do not rewrite full chapter before checking Codex report.</x:v>
      </x:c>
    </x:row>
    <x:row r="3">
      <x:c r="A3" s="19" t="str">
        <x:v>ISS-002</x:v>
      </x:c>
      <x:c r="B3" s="247" t="n">
        <x:v>46196</x:v>
      </x:c>
      <x:c r="C3" s="14" t="str">
        <x:v>P0</x:v>
      </x:c>
      <x:c r="D3" s="14" t="str">
        <x:v>文献综合</x:v>
      </x:c>
      <x:c r="E3" s="14" t="str">
        <x:v>Chapter 2</x:v>
      </x:c>
      <x:c r="F3" s="14" t="str">
        <x:v>Chapter 2 当前基本为空，必须形成综合综述而非三篇文献综述拼接。</x:v>
      </x:c>
      <x:c r="G3" s="14" t="str">
        <x:v>未开始</x:v>
      </x:c>
      <x:c r="H3" s="252" t="n">
        <x:v>46198.96875</x:v>
      </x:c>
      <x:c r="I3" s="14" t="str"/>
      <x:c r="J3" s="14" t="str">
        <x:v>本人 / ChatGPT</x:v>
      </x:c>
      <x:c r="K3" s="20" t="str"/>
    </x:row>
    <x:row r="4">
      <x:c r="A4" s="19" t="str">
        <x:v>ISS-003</x:v>
      </x:c>
      <x:c r="B4" s="247" t="n">
        <x:v>46196</x:v>
      </x:c>
      <x:c r="C4" s="14" t="str">
        <x:v>P0</x:v>
      </x:c>
      <x:c r="D4" s="14" t="str">
        <x:v>图件</x:v>
      </x:c>
      <x:c r="E4" s="14" t="str">
        <x:v>Chapters 3–5</x:v>
      </x:c>
      <x:c r="F4" s="14" t="str">
        <x:v>正文有 13 个 figure placeholders，需要恢复、重建或删除并重写相关叙述。</x:v>
      </x:c>
      <x:c r="G4" s="14" t="str">
        <x:v>未开始</x:v>
      </x:c>
      <x:c r="H4" s="252" t="n">
        <x:v>46201.729166666664</x:v>
      </x:c>
      <x:c r="I4" s="14" t="str"/>
      <x:c r="J4" s="14" t="str">
        <x:v>Codex / 本人</x:v>
      </x:c>
      <x:c r="K4" s="20" t="str"/>
    </x:row>
    <x:row r="5">
      <x:c r="A5" s="19" t="str">
        <x:v>ISS-004</x:v>
      </x:c>
      <x:c r="B5" s="247" t="n">
        <x:v>46196</x:v>
      </x:c>
      <x:c r="C5" s="14" t="str">
        <x:v>P0</x:v>
      </x:c>
      <x:c r="D5" s="14" t="str">
        <x:v>写作一致性</x:v>
      </x:c>
      <x:c r="E5" s="14" t="str">
        <x:v>Chapter 4</x:v>
      </x:c>
      <x:c r="F5" s="14" t="str">
        <x:v>存在 manuscript/paper/reviewer-defense 痕迹及较明显期刊稿风格。</x:v>
      </x:c>
      <x:c r="G5" s="14" t="str">
        <x:v>未开始</x:v>
      </x:c>
      <x:c r="H5" s="252" t="n">
        <x:v>46201.645833333336</x:v>
      </x:c>
      <x:c r="I5" s="14" t="str"/>
      <x:c r="J5" s="14" t="str">
        <x:v>本人 / ChatGPT</x:v>
      </x:c>
      <x:c r="K5" s="20" t="str"/>
    </x:row>
    <x:row r="6">
      <x:c r="A6" s="19" t="str">
        <x:v>ISS-005</x:v>
      </x:c>
      <x:c r="B6" s="247" t="n">
        <x:v>46196</x:v>
      </x:c>
      <x:c r="C6" s="14" t="str">
        <x:v>P0</x:v>
      </x:c>
      <x:c r="D6" s="14" t="str">
        <x:v>LaTeX 引用</x:v>
      </x:c>
      <x:c r="E6" s="14" t="str">
        <x:v>Ch4 + Appendices</x:v>
      </x:c>
      <x:c r="F6" s="14" t="str">
        <x:v>硬编码 Algorithm 2–10、Appendix A–E 等编号可能随合并变化。</x:v>
      </x:c>
      <x:c r="G6" s="14" t="str">
        <x:v>未开始</x:v>
      </x:c>
      <x:c r="H6" s="252" t="n">
        <x:v>46199.96875</x:v>
      </x:c>
      <x:c r="I6" s="14" t="str"/>
      <x:c r="J6" s="14" t="str">
        <x:v>Codex</x:v>
      </x:c>
      <x:c r="K6" s="20" t="str"/>
    </x:row>
    <x:row r="7">
      <x:c r="A7" s="19" t="str">
        <x:v>ISS-006</x:v>
      </x:c>
      <x:c r="B7" s="247" t="n">
        <x:v>46196</x:v>
      </x:c>
      <x:c r="C7" s="14" t="str">
        <x:v>P0</x:v>
      </x:c>
      <x:c r="D7" s="14" t="str">
        <x:v>章际关联</x:v>
      </x:c>
      <x:c r="E7" s="14" t="str">
        <x:v>Chapter 5</x:v>
      </x:c>
      <x:c r="F7" s="14" t="str">
        <x:v>多处把 Chapter 4 对应论文作为外部自引，需优先改为 thesis 内部承接。</x:v>
      </x:c>
      <x:c r="G7" s="14" t="str">
        <x:v>未开始</x:v>
      </x:c>
      <x:c r="H7" s="252" t="n">
        <x:v>46201.729166666664</x:v>
      </x:c>
      <x:c r="I7" s="14" t="str"/>
      <x:c r="J7" s="14" t="str">
        <x:v>本人 / ChatGPT</x:v>
      </x:c>
      <x:c r="K7" s="20" t="str"/>
    </x:row>
    <x:row r="8">
      <x:c r="A8" s="19" t="str">
        <x:v>ISS-007</x:v>
      </x:c>
      <x:c r="B8" s="247" t="n">
        <x:v>46196</x:v>
      </x:c>
      <x:c r="C8" s="14" t="str">
        <x:v>P0</x:v>
      </x:c>
      <x:c r="D8" s="14" t="str">
        <x:v>综合结论</x:v>
      </x:c>
      <x:c r="E8" s="14" t="str">
        <x:v>Chapter 6</x:v>
      </x:c>
      <x:c r="F8" s="14" t="str">
        <x:v>当前篇幅和功能更像章节摘要，需按 RQ 重写为跨章综合。</x:v>
      </x:c>
      <x:c r="G8" s="14" t="str">
        <x:v>未开始</x:v>
      </x:c>
      <x:c r="H8" s="252" t="n">
        <x:v>46201.854166666664</x:v>
      </x:c>
      <x:c r="I8" s="14" t="str"/>
      <x:c r="J8" s="14" t="str">
        <x:v>本人 / ChatGPT</x:v>
      </x:c>
      <x:c r="K8" s="20" t="str"/>
    </x:row>
    <x:row r="9">
      <x:c r="A9" s="19" t="str">
        <x:v>ISS-008</x:v>
      </x:c>
      <x:c r="B9" s="247" t="n">
        <x:v>46196</x:v>
      </x:c>
      <x:c r="C9" s="14" t="str">
        <x:v>P0</x:v>
      </x:c>
      <x:c r="D9" s="14" t="str">
        <x:v>前置部分</x:v>
      </x:c>
      <x:c r="E9" s="14" t="str">
        <x:v>Front matter</x:v>
      </x:c>
      <x:c r="F9" s="14" t="str">
        <x:v>摘要、致谢、缩写等需按最终论文内容完成与核对。</x:v>
      </x:c>
      <x:c r="G9" s="14" t="str">
        <x:v>未开始</x:v>
      </x:c>
      <x:c r="H9" s="252" t="n">
        <x:v>46201.916666666664</x:v>
      </x:c>
      <x:c r="I9" s="14" t="str"/>
      <x:c r="J9" s="14" t="str">
        <x:v>本人 / ChatGPT</x:v>
      </x:c>
      <x:c r="K9" s="20" t="str"/>
    </x:row>
    <x:row r="10">
      <x:c r="A10" s="19" t="str">
        <x:v>ISS-009</x:v>
      </x:c>
      <x:c r="B10" s="247" t="n">
        <x:v>46196</x:v>
      </x:c>
      <x:c r="C10" s="14" t="str">
        <x:v>P0</x:v>
      </x:c>
      <x:c r="D10" s="14" t="str">
        <x:v>内容安全</x:v>
      </x:c>
      <x:c r="E10" s="14" t="str">
        <x:v>Publications</x:v>
      </x:c>
      <x:c r="F10" s="14" t="str">
        <x:v>可选 Publications 文件含无关模板内容，不得误 include。</x:v>
      </x:c>
      <x:c r="G10" s="14" t="str">
        <x:v>未开始</x:v>
      </x:c>
      <x:c r="H10" s="252" t="n">
        <x:v>46196.958333333336</x:v>
      </x:c>
      <x:c r="I10" s="14" t="str"/>
      <x:c r="J10" s="14" t="str">
        <x:v>Codex / 本人</x:v>
      </x:c>
      <x:c r="K10" s="20" t="str"/>
    </x:row>
    <x:row r="11">
      <x:c r="A11" s="19" t="str">
        <x:v>ISS-010</x:v>
      </x:c>
      <x:c r="B11" s="247" t="n">
        <x:v>46196</x:v>
      </x:c>
      <x:c r="C11" s="14" t="str">
        <x:v>P0</x:v>
      </x:c>
      <x:c r="D11" s="14" t="str">
        <x:v>构建</x:v>
      </x:c>
      <x:c r="E11" s="14" t="str">
        <x:v>完整仓库</x:v>
      </x:c>
      <x:c r="F11" s="14" t="str">
        <x:v>讨论 bundle 缺 main/preamble/bib/images；必须在完整仓库执行真实编译。</x:v>
      </x:c>
      <x:c r="G11" s="14" t="str">
        <x:v>处理中</x:v>
      </x:c>
      <x:c r="H11" s="252" t="n">
        <x:v>46196.81597222222</x:v>
      </x:c>
      <x:c r="I11" s="14" t="str">
        <x:v>Final build status after Codex edit not checked at 06/23 end; verify first on 06/24 and update error/citation counts.</x:v>
      </x:c>
      <x:c r="J11" s="14" t="str">
        <x:v>本人 / Codex</x:v>
      </x:c>
      <x:c r="K11" s="20" t="str">
        <x:v>Tracked as pending; not a reason to continue working tonight.</x:v>
      </x:c>
    </x:row>
    <x:row r="12">
      <x:c r="A12" s="19" t="str">
        <x:v>ISS-011</x:v>
      </x:c>
      <x:c r="B12" s="247" t="n">
        <x:v>46196</x:v>
      </x:c>
      <x:c r="C12" s="14" t="str">
        <x:v>P0</x:v>
      </x:c>
      <x:c r="D12" s="14" t="str">
        <x:v>逻辑接口</x:v>
      </x:c>
      <x:c r="E12" s="14" t="str">
        <x:v>Chapters 3–5</x:v>
      </x:c>
      <x:c r="F12" s="14" t="str">
        <x:v>需解释 UDF reduction maximization 与 final UDF/EUDF minimization 的关系。</x:v>
      </x:c>
      <x:c r="G12" s="14" t="str">
        <x:v>未开始</x:v>
      </x:c>
      <x:c r="H12" s="252" t="n">
        <x:v>46201.729166666664</x:v>
      </x:c>
      <x:c r="I12" s="14" t="str"/>
      <x:c r="J12" s="14" t="str">
        <x:v>本人 / ChatGPT</x:v>
      </x:c>
      <x:c r="K12" s="20" t="str"/>
    </x:row>
    <x:row r="13">
      <x:c r="A13" s="19" t="str">
        <x:v>ISS-012</x:v>
      </x:c>
      <x:c r="B13" s="247" t="n">
        <x:v>46196</x:v>
      </x:c>
      <x:c r="C13" s="14" t="str">
        <x:v>P0</x:v>
      </x:c>
      <x:c r="D13" s="14" t="str">
        <x:v>逻辑接口</x:v>
      </x:c>
      <x:c r="E13" s="14" t="str">
        <x:v>Chapters 4–5</x:v>
      </x:c>
      <x:c r="F13" s="14" t="str">
        <x:v>需解释 Chapter 4 含排放成本而 Chapter 5 移除排放项的研究设计理由。</x:v>
      </x:c>
      <x:c r="G13" s="14" t="str">
        <x:v>未开始</x:v>
      </x:c>
      <x:c r="H13" s="252" t="n">
        <x:v>46201.729166666664</x:v>
      </x:c>
      <x:c r="I13" s="14" t="str"/>
      <x:c r="J13" s="14" t="str">
        <x:v>本人 / ChatGPT</x:v>
      </x:c>
      <x:c r="K13" s="20" t="str"/>
    </x:row>
    <x:row r="14">
      <x:c r="A14" s="19" t="str">
        <x:v>ISS-013</x:v>
      </x:c>
      <x:c r="B14" s="247" t="n">
        <x:v>46196</x:v>
      </x:c>
      <x:c r="C14" s="14" t="str">
        <x:v>P1</x:v>
      </x:c>
      <x:c r="D14" s="14" t="str">
        <x:v>逻辑接口</x:v>
      </x:c>
      <x:c r="E14" s="14" t="str">
        <x:v>Chapter 4</x:v>
      </x:c>
      <x:c r="F14" s="14" t="str">
        <x:v>需区分固定 staffing 下的运营优化与 repairer 配置的事后经济评价。</x:v>
      </x:c>
      <x:c r="G14" s="14" t="str">
        <x:v>未开始</x:v>
      </x:c>
      <x:c r="H14" s="252" t="n">
        <x:v>46201.645833333336</x:v>
      </x:c>
      <x:c r="I14" s="14" t="str"/>
      <x:c r="J14" s="14" t="str">
        <x:v>本人 / ChatGPT</x:v>
      </x:c>
      <x:c r="K14" s="20" t="str"/>
    </x:row>
    <x:row r="15">
      <x:c r="A15" s="19" t="str">
        <x:v>ISS-014</x:v>
      </x:c>
      <x:c r="B15" s="247" t="n">
        <x:v>46196</x:v>
      </x:c>
      <x:c r="C15" s="14" t="str">
        <x:v>P1</x:v>
      </x:c>
      <x:c r="D15" s="14" t="str">
        <x:v>语言风格</x:v>
      </x:c>
      <x:c r="E15" s="14" t="str">
        <x:v>全文，优先 Ch4</x:v>
      </x:c>
      <x:c r="F15" s="14" t="str">
        <x:v>清除防御性语言、AI 式泛化、宣传性措辞与无依据因果推断。</x:v>
      </x:c>
      <x:c r="G15" s="14" t="str">
        <x:v>未开始</x:v>
      </x:c>
      <x:c r="H15" s="252" t="n">
        <x:v>46202.5</x:v>
      </x:c>
      <x:c r="I15" s="14" t="str"/>
      <x:c r="J15" s="14" t="str">
        <x:v>本人 / ChatGPT</x:v>
      </x:c>
      <x:c r="K15" s="20" t="str"/>
    </x:row>
    <x:row r="16">
      <x:c r="A16" s="21" t="str">
        <x:v>ISS-015</x:v>
      </x:c>
      <x:c r="B16" s="255" t="n">
        <x:v>46196</x:v>
      </x:c>
      <x:c r="C16" s="22" t="str">
        <x:v>P1</x:v>
      </x:c>
      <x:c r="D16" s="22" t="str">
        <x:v>术语一致性</x:v>
      </x:c>
      <x:c r="E16" s="22" t="str">
        <x:v>全文</x:v>
      </x:c>
      <x:c r="F16" s="22" t="str">
        <x:v>统一 on-site、repositioning/rebalancing、UDF/EUDF 等关键术语与大小写。</x:v>
      </x:c>
      <x:c r="G16" s="22" t="str">
        <x:v>未开始</x:v>
      </x:c>
      <x:c r="H16" s="253" t="n">
        <x:v>46202.5</x:v>
      </x:c>
      <x:c r="I16" s="22" t="str"/>
      <x:c r="J16" s="22" t="str">
        <x:v>Codex / 本人</x:v>
      </x:c>
      <x:c r="K16" s="23" t="str"/>
    </x:row>
    <x:row r="17">
      <x:c r="A17" s="313" t="str">
        <x:v>ISS-016</x:v>
      </x:c>
      <x:c r="B17" s="316" t="n">
        <x:v>46197</x:v>
      </x:c>
      <x:c r="C17" s="314" t="str">
        <x:v>P1</x:v>
      </x:c>
      <x:c r="D17" s="314" t="str">
        <x:v>工作流同步</x:v>
      </x:c>
      <x:c r="E17" s="314" t="str">
        <x:v>tracking / ChatGPT Project</x:v>
      </x:c>
      <x:c r="F17" s="314" t="str">
        <x:v>Tracker、daily_log、issue_register、Codex reports 与 ChatGPT Project 文件之间可能出现版本漂移；需建立 repo-based source-of-truth。</x:v>
      </x:c>
      <x:c r="G17" s="314" t="str">
        <x:v>处理中</x:v>
      </x:c>
      <x:c r="H17" s="317" t="n">
        <x:v>46197.958333333336</x:v>
      </x:c>
      <x:c r="I17" s="314" t="str">
        <x:v>建议新增 tracking/tracker_state.yml、daily_log.md、issue_register.yml，并由 Codex 生成 tracker.xlsx；ChatGPT 只读取最新摘要或必要文件。</x:v>
      </x:c>
      <x:c r="J17" s="314" t="str">
        <x:v>本人 / Codex / ChatGPT</x:v>
      </x:c>
      <x:c r="K17" s="315" t="str">
        <x:v>不占用 P0 写作时间；作为 W1 前后 20–30 分钟设置任务。</x:v>
      </x:c>
    </x:row>
    <x:row r="18">
      <x:c r="A18" s="411" t="str">
        <x:v>ISS-017</x:v>
      </x:c>
      <x:c r="B18" s="412" t="n">
        <x:v>46197</x:v>
      </x:c>
      <x:c r="C18" s="413" t="str">
        <x:v>P0</x:v>
      </x:c>
      <x:c r="D18" s="413" t="str">
        <x:v>计划重排</x:v>
      </x:c>
      <x:c r="E18" s="413" t="str">
        <x:v>06/24 daily plan</x:v>
      </x:c>
      <x:c r="F18" s="413" t="str">
        <x:v>6/24 上午用于工作流重构，15:00 才正式回到论文；Chapter 1 仍未 review，Chapter 2 启动延后；需执行 15:00 版降级日计划。</x:v>
      </x:c>
      <x:c r="G18" s="413" t="str">
        <x:v>处理中</x:v>
      </x:c>
      <x:c r="H18" s="414" t="n">
        <x:v>46197.9375</x:v>
      </x:c>
      <x:c r="I18" s="413" t="str">
        <x:v>将 W2–W7 改为：15:00 起验收 Chapter 1；16:30 最小 polish；17:20 编译记录；19:00 Chapter 2 文献矩阵；20:45 Chapter 2 开头 + 日终检查。</x:v>
      </x:c>
      <x:c r="J18" s="413" t="str">
        <x:v>本人 / ChatGPT / Codex</x:v>
      </x:c>
      <x:c r="K18" s="415" t="str">
        <x:v>若 Chapter 1 返工，则今晚 Chapter 2 仅保留文献矩阵。</x:v>
      </x:c>
    </x:row>
  </x:sheetData>
  <x:conditionalFormatting sqref="C2:C16">
    <x:cfRule type="expression" dxfId="9" priority="1">
      <x:formula>C2="P0"</x:formula>
    </x:cfRule>
  </x:conditionalFormatting>
  <x:conditionalFormatting sqref="G2:G16">
    <x:cfRule type="expression" dxfId="10" priority="2">
      <x:formula>G2="已解决"</x:formula>
    </x:cfRule>
    <x:cfRule type="expression" dxfId="11" priority="3">
      <x:formula>G2="阻塞"</x:formula>
    </x:cfRule>
  </x:conditionalFormatting>
  <x:dataValidations count="4">
    <x:dataValidation type="list" sqref="C2:C16">
      <x:formula1>"P0,P1,P2"</x:formula1>
    </x:dataValidation>
    <x:dataValidation type="list" sqref="G2:G16">
      <x:formula1>"未开始,进行中,完成,接受风险,阻塞"</x:formula1>
    </x:dataValidation>
    <x:dataValidation type="list" sqref="C17">
      <x:formula1>"P0,P1,P2"</x:formula1>
    </x:dataValidation>
    <x:dataValidation type="list" sqref="G17">
      <x:formula1>"未开始,分析中,处理中,已解决,接受风险,阻塞"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22efd9e60f400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36" hidden="0" customWidth="1"/>
    <x:col min="4" max="4" width="36" hidden="0" customWidth="1"/>
    <x:col min="5" max="5" width="36" hidden="0" customWidth="1"/>
    <x:col min="6" max="6" width="18" hidden="0" customWidth="1"/>
  </x:cols>
  <x:sheetData>
    <x:row r="1">
      <x:c r="A1" s="210" t="str">
        <x:v>论文冲刺追踪表使用说明</x:v>
      </x:c>
      <x:c r="B1" s="210"/>
      <x:c r="C1" s="210"/>
      <x:c r="D1" s="210"/>
      <x:c r="E1" s="210"/>
      <x:c r="F1" s="210"/>
    </x:row>
    <x:row r="2">
      <x:c r="A2" s="210"/>
      <x:c r="B2" s="210"/>
      <x:c r="C2" s="210"/>
      <x:c r="D2" s="210"/>
      <x:c r="E2" s="210"/>
      <x:c r="F2" s="210"/>
    </x:row>
    <x:row r="4">
      <x:c r="A4" s="214" t="str">
        <x:v>操作时点</x:v>
      </x:c>
      <x:c r="B4" s="215" t="str">
        <x:v>操作</x:v>
      </x:c>
      <x:c r="C4" s="215" t="str">
        <x:v>必须填写</x:v>
      </x:c>
      <x:c r="D4" s="215" t="str">
        <x:v>判断标准</x:v>
      </x:c>
      <x:c r="E4" s="215" t="str">
        <x:v>异常处理</x:v>
      </x:c>
      <x:c r="F4" s="216" t="str">
        <x:v>原则</x:v>
      </x:c>
    </x:row>
    <x:row r="5" ht="50" customHeight="1">
      <x:c r="A5" s="19" t="str">
        <x:v>工作块开始</x:v>
      </x:c>
      <x:c r="B5" s="14" t="str">
        <x:v>在“任务清单”定位编号并设为“进行中”</x:v>
      </x:c>
      <x:c r="C5" s="14" t="str">
        <x:v>状态</x:v>
      </x:c>
      <x:c r="D5" s="14" t="str">
        <x:v>5 分钟内开始产出，不先做无边界润色</x:v>
      </x:c>
      <x:c r="E5" s="14" t="str">
        <x:v>若前置条件缺失，转入问题清单</x:v>
      </x:c>
      <x:c r="F5" s="20" t="str">
        <x:v>先 P0 后 P1</x:v>
      </x:c>
    </x:row>
    <x:row r="6" ht="50" customHeight="1">
      <x:c r="A6" s="19" t="str">
        <x:v>工作块结束</x:v>
      </x:c>
      <x:c r="B6" s="14" t="str">
        <x:v>更新完成度与实际小时</x:v>
      </x:c>
      <x:c r="C6" s="14" t="str">
        <x:v>完成度、实际小时、产出/证据、下一步</x:v>
      </x:c>
      <x:c r="D6" s="14" t="str">
        <x:v>完成标准可被第三人核验</x:v>
      </x:c>
      <x:c r="E6" s="14" t="str">
        <x:v>部分完成不得写“已完成”</x:v>
      </x:c>
      <x:c r="F6" s="20" t="str">
        <x:v>证据优于感觉</x:v>
      </x:c>
    </x:row>
    <x:row r="7" ht="50" customHeight="1">
      <x:c r="A7" s="19" t="str">
        <x:v>遇到阻塞</x:v>
      </x:c>
      <x:c r="B7" s="14" t="str">
        <x:v>创建或更新问题条目</x:v>
      </x:c>
      <x:c r="C7" s="14" t="str">
        <x:v>位置、问题、负责人、截止时间</x:v>
      </x:c>
      <x:c r="D7" s="14" t="str">
        <x:v>20 分钟内决定修复、绕过或接受风险</x:v>
      </x:c>
      <x:c r="E7" s="14" t="str">
        <x:v>切换至不依赖阻塞的 P0 任务</x:v>
      </x:c>
      <x:c r="F7" s="20" t="str">
        <x:v>不在原地消耗</x:v>
      </x:c>
    </x:row>
    <x:row r="8" ht="50" customHeight="1">
      <x:c r="A8" s="19" t="str">
        <x:v>每日结束</x:v>
      </x:c>
      <x:c r="B8" s="14" t="str">
        <x:v>填写“每日汇报”一行</x:v>
      </x:c>
      <x:c r="C8" s="14" t="str">
        <x:v>实际小时、图片剩余、编译状态、摘要、明日首要任务</x:v>
      </x:c>
      <x:c r="D8" s="14" t="str">
        <x:v>能判断是否仍在 6/28 内容冻结轨道上</x:v>
      </x:c>
      <x:c r="E8" s="14" t="str">
        <x:v>高风险时将次日首块改为补救</x:v>
      </x:c>
      <x:c r="F8" s="20" t="str">
        <x:v>不挤占睡眠</x:v>
      </x:c>
    </x:row>
    <x:row r="9" ht="50" customHeight="1">
      <x:c r="A9" s="19" t="str">
        <x:v>里程碑时点</x:v>
      </x:c>
      <x:c r="B9" s="14" t="str">
        <x:v>更新“里程碑”状态与证据</x:v>
      </x:c>
      <x:c r="C9" s="14" t="str">
        <x:v>状态、完成时间、PDF/commit 路径</x:v>
      </x:c>
      <x:c r="D9" s="14" t="str">
        <x:v>验收条件全部成立</x:v>
      </x:c>
      <x:c r="E9" s="14" t="str">
        <x:v>未达成时只前移 P0，不新增范围</x:v>
      </x:c>
      <x:c r="F9" s="20" t="str">
        <x:v>截止线优先</x:v>
      </x:c>
    </x:row>
    <x:row r="10" ht="50" customHeight="1">
      <x:c r="A10" s="21" t="str">
        <x:v>内容冻结后</x:v>
      </x:c>
      <x:c r="B10" s="22" t="str">
        <x:v>只修复 P0</x:v>
      </x:c>
      <x:c r="C10" s="22" t="str">
        <x:v>问题清单与解决结论</x:v>
      </x:c>
      <x:c r="D10" s="22" t="str">
        <x:v>不再改变研究范围和主要实验</x:v>
      </x:c>
      <x:c r="E10" s="22" t="str">
        <x:v>P1/P2 记录但不主动扩展</x:v>
      </x:c>
      <x:c r="F10" s="23" t="str">
        <x:v>稳定提交</x:v>
      </x:c>
    </x:row>
    <x:row r="12">
      <x:c r="A12" s="264" t="str">
        <x:v>新增同步原则</x:v>
      </x:c>
      <x:c r="B12" s="264" t="str">
        <x:v>提醒计划 sheet 与 .ics 文件用于导入日历；ChatGPT 自动提醒只覆盖每日启动/日终和硬截止。</x:v>
      </x:c>
      <x:c r="C12" s="264"/>
      <x:c r="D12" s="264"/>
      <x:c r="E12" s="264"/>
      <x:c r="F12" s="264"/>
    </x:row>
    <x:row r="13">
      <x:c r="A13" s="272" t="str">
        <x:v>1</x:v>
      </x:c>
      <x:c r="B13" s="273" t="str">
        <x:v>Repo tracking/*.yml 与 daily_log.md 是进度事实来源；tracker.xlsx 是生成看板，不作为唯一状态源。</x:v>
      </x:c>
      <x:c r="C13" s="273" t="str"/>
      <x:c r="D13" s="273" t="str"/>
      <x:c r="E13" s="273" t="str"/>
      <x:c r="F13" s="274" t="str"/>
    </x:row>
    <x:row r="14">
      <x:c r="A14" s="275" t="str">
        <x:v>2</x:v>
      </x:c>
      <x:c r="B14" s="276" t="str">
        <x:v>ChatGPT Project 文件视为参考快照。每天只上传或粘贴当天必要的 tex/diff/report，不反复上传全量仓库。</x:v>
      </x:c>
      <x:c r="C14" s="276" t="str"/>
      <x:c r="D14" s="276" t="str"/>
      <x:c r="E14" s="276" t="str"/>
      <x:c r="F14" s="277" t="str"/>
    </x:row>
    <x:row r="15">
      <x:c r="A15" s="278" t="str">
        <x:v>3</x:v>
      </x:c>
      <x:c r="B15" s="279" t="str">
        <x:v>Codex 每次修改后必须报告 files changed、build、undefined citations/references、missing figures、TODO/placeholder。</x:v>
      </x:c>
      <x:c r="C15" s="279" t="str"/>
      <x:c r="D15" s="279" t="str"/>
      <x:c r="E15" s="279" t="str"/>
      <x:c r="F15" s="280" t="str"/>
    </x:row>
  </x:sheetData>
  <x:mergeCells>
    <x:mergeCell ref="A1:F2"/>
    <x:mergeCell ref="A12:F12"/>
    <x:mergeCell ref="B13:F13"/>
    <x:mergeCell ref="B14:F14"/>
    <x:mergeCell ref="B15:F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24" hidden="0" customWidth="1"/>
    <x:col min="6" max="6" width="16" hidden="0" customWidth="1"/>
    <x:col min="7" max="7" width="46" hidden="0" customWidth="1"/>
    <x:col min="8" max="8" width="18" hidden="0" customWidth="1"/>
  </x:cols>
  <x:sheetData>
    <x:row r="1">
      <x:c r="A1" s="231" t="str">
        <x:v>日期</x:v>
      </x:c>
      <x:c r="B1" s="231" t="str">
        <x:v>时间</x:v>
      </x:c>
      <x:c r="C1" s="231" t="str">
        <x:v>提醒类型</x:v>
      </x:c>
      <x:c r="D1" s="231" t="str">
        <x:v>关联编号</x:v>
      </x:c>
      <x:c r="E1" s="231" t="str">
        <x:v>标题</x:v>
      </x:c>
      <x:c r="F1" s="231" t="str">
        <x:v>提醒节点</x:v>
      </x:c>
      <x:c r="G1" s="231" t="str">
        <x:v>执行动作</x:v>
      </x:c>
      <x:c r="H1" s="231" t="str">
        <x:v>是否进入 ChatGPT 自动提醒</x:v>
      </x:c>
    </x:row>
    <x:row r="2">
      <x:c r="A2" s="12" t="str">
        <x:v>2026-06-23</x:v>
      </x:c>
      <x:c r="B2" s="12" t="str">
        <x:v>19:00–19:35</x:v>
      </x:c>
      <x:c r="C2" s="12" t="str">
        <x:v>工作块</x:v>
      </x:c>
      <x:c r="D2" s="12" t="str">
        <x:v>T1</x:v>
      </x:c>
      <x:c r="E2" s="12" t="str">
        <x:v>建立安全基线</x:v>
      </x:c>
      <x:c r="F2" s="12" t="str">
        <x:v>提前 10 分钟</x:v>
      </x:c>
      <x:c r="G2" s="12" t="str">
        <x:v>开始 T1：建立安全基线。结束时按模板回报：状态、产出、指标、阻塞、下一块。</x:v>
      </x:c>
      <x:c r="H2" s="12" t="str">
        <x:v>否</x:v>
      </x:c>
    </x:row>
    <x:row r="3">
      <x:c r="A3" s="12" t="str">
        <x:v>2026-06-23</x:v>
      </x:c>
      <x:c r="B3" s="12" t="str">
        <x:v>19:35–20:50</x:v>
      </x:c>
      <x:c r="C3" s="12" t="str">
        <x:v>工作块</x:v>
      </x:c>
      <x:c r="D3" s="12" t="str">
        <x:v>T2</x:v>
      </x:c>
      <x:c r="E3" s="12" t="str">
        <x:v>冻结 thesis spine</x:v>
      </x:c>
      <x:c r="F3" s="12" t="str">
        <x:v>提前 10 分钟</x:v>
      </x:c>
      <x:c r="G3" s="12" t="str">
        <x:v>开始 T2：冻结 thesis spine。结束时按模板回报：状态、产出、指标、阻塞、下一块。</x:v>
      </x:c>
      <x:c r="H3" s="12" t="str">
        <x:v>否</x:v>
      </x:c>
    </x:row>
    <x:row r="4">
      <x:c r="A4" s="12" t="str">
        <x:v>2026-06-23</x:v>
      </x:c>
      <x:c r="B4" s="12" t="str">
        <x:v>21:05–22:15</x:v>
      </x:c>
      <x:c r="C4" s="12" t="str">
        <x:v>工作块</x:v>
      </x:c>
      <x:c r="D4" s="12" t="str">
        <x:v>T3</x:v>
      </x:c>
      <x:c r="E4" s="12" t="str">
        <x:v>建立 Chapter 1 骨架</x:v>
      </x:c>
      <x:c r="F4" s="12" t="str">
        <x:v>提前 10 分钟</x:v>
      </x:c>
      <x:c r="G4" s="12" t="str">
        <x:v>开始 T3：建立 Chapter 1 骨架。结束时按模板回报：状态、产出、指标、阻塞、下一块。</x:v>
      </x:c>
      <x:c r="H4" s="12" t="str">
        <x:v>否</x:v>
      </x:c>
    </x:row>
    <x:row r="5">
      <x:c r="A5" s="12" t="str">
        <x:v>2026-06-23</x:v>
      </x:c>
      <x:c r="B5" s="12" t="str">
        <x:v>22:15–23:00</x:v>
      </x:c>
      <x:c r="C5" s="12" t="str">
        <x:v>工作块</x:v>
      </x:c>
      <x:c r="D5" s="12" t="str">
        <x:v>T4</x:v>
      </x:c>
      <x:c r="E5" s="12" t="str">
        <x:v>开始 Chapter 1 正文</x:v>
      </x:c>
      <x:c r="F5" s="12" t="str">
        <x:v>提前 10 分钟</x:v>
      </x:c>
      <x:c r="G5" s="12" t="str">
        <x:v>开始 T4：开始 Chapter 1 正文。结束时按模板回报：状态、产出、指标、阻塞、下一块。</x:v>
      </x:c>
      <x:c r="H5" s="12" t="str">
        <x:v>否</x:v>
      </x:c>
    </x:row>
    <x:row r="6">
      <x:c r="A6" s="12" t="str">
        <x:v>2026-06-23</x:v>
      </x:c>
      <x:c r="B6" s="12" t="str">
        <x:v>23:00</x:v>
      </x:c>
      <x:c r="C6" s="12" t="str">
        <x:v>日终汇报</x:v>
      </x:c>
      <x:c r="D6" s="12" t="str">
        <x:v>DR-06/23</x:v>
      </x:c>
      <x:c r="E6" s="12" t="str">
        <x:v>填写每日汇报并 commit</x:v>
      </x:c>
      <x:c r="F6" s="12" t="str">
        <x:v>准点</x:v>
      </x:c>
      <x:c r="G6" s="12" t="str">
        <x:v>填写每日汇报；确认 thesis spine、Ch1 开始、baseline build/阻塞原因。</x:v>
      </x:c>
      <x:c r="H6" s="12" t="str">
        <x:v>是</x:v>
      </x:c>
    </x:row>
    <x:row r="7">
      <x:c r="A7" s="12" t="str">
        <x:v>2026-06-23</x:v>
      </x:c>
      <x:c r="B7" s="12" t="str">
        <x:v>23:00</x:v>
      </x:c>
      <x:c r="C7" s="12" t="str">
        <x:v>硬里程碑</x:v>
      </x:c>
      <x:c r="D7" s="12" t="str">
        <x:v>MS-01</x:v>
      </x:c>
      <x:c r="E7" s="12" t="str">
        <x:v>论文主线冻结</x:v>
      </x:c>
      <x:c r="F7" s="12" t="str">
        <x:v>提前 30 分钟</x:v>
      </x:c>
      <x:c r="G7" s="12" t="str">
        <x:v>thesis spine 冻结；Chapter 1 已开始；baseline build 或阻塞原因明确。</x:v>
      </x:c>
      <x:c r="H7" s="12" t="str">
        <x:v>否</x:v>
      </x:c>
    </x:row>
    <x:row r="8">
      <x:c r="A8" s="12" t="str">
        <x:v>2026-06-24</x:v>
      </x:c>
      <x:c r="B8" s="12" t="str">
        <x:v>09:45–10:00</x:v>
      </x:c>
      <x:c r="C8" s="12" t="str">
        <x:v>工作块</x:v>
      </x:c>
      <x:c r="D8" s="12" t="str">
        <x:v>W1</x:v>
      </x:c>
      <x:c r="E8" s="12" t="str">
        <x:v>阅读昨日正文并锁定顺序</x:v>
      </x:c>
      <x:c r="F8" s="12" t="str">
        <x:v>提前 10 分钟</x:v>
      </x:c>
      <x:c r="G8" s="12" t="str">
        <x:v>开始 W1：阅读昨日正文并锁定顺序。结束时按模板回报：状态、产出、指标、阻塞、下一块。</x:v>
      </x:c>
      <x:c r="H8" s="12" t="str">
        <x:v>否</x:v>
      </x:c>
    </x:row>
    <x:row r="9">
      <x:c r="A9" s="12" t="str">
        <x:v>2026-06-24</x:v>
      </x:c>
      <x:c r="B9" s="12" t="str">
        <x:v>10:00–12:15</x:v>
      </x:c>
      <x:c r="C9" s="12" t="str">
        <x:v>工作块</x:v>
      </x:c>
      <x:c r="D9" s="12" t="str">
        <x:v>W2</x:v>
      </x:c>
      <x:c r="E9" s="12" t="str">
        <x:v>写研究挑战与研究问题</x:v>
      </x:c>
      <x:c r="F9" s="12" t="str">
        <x:v>提前 10 分钟</x:v>
      </x:c>
      <x:c r="G9" s="12" t="str">
        <x:v>开始 W2：写研究挑战与研究问题。结束时按模板回报：状态、产出、指标、阻塞、下一块。</x:v>
      </x:c>
      <x:c r="H9" s="12" t="str">
        <x:v>否</x:v>
      </x:c>
    </x:row>
    <x:row r="10">
      <x:c r="A10" s="12" t="str">
        <x:v>2026-06-24</x:v>
      </x:c>
      <x:c r="B10" s="12" t="str">
        <x:v>13:15–15:30</x:v>
      </x:c>
      <x:c r="C10" s="12" t="str">
        <x:v>工作块</x:v>
      </x:c>
      <x:c r="D10" s="12" t="str">
        <x:v>W3</x:v>
      </x:c>
      <x:c r="E10" s="12" t="str">
        <x:v>写贡献、范围和章节结构</x:v>
      </x:c>
      <x:c r="F10" s="12" t="str">
        <x:v>提前 10 分钟</x:v>
      </x:c>
      <x:c r="G10" s="12" t="str">
        <x:v>开始 W3：写贡献、范围和章节结构。结束时按模板回报：状态、产出、指标、阻塞、下一块。</x:v>
      </x:c>
      <x:c r="H10" s="12" t="str">
        <x:v>否</x:v>
      </x:c>
    </x:row>
    <x:row r="11">
      <x:c r="A11" s="12" t="str">
        <x:v>2026-06-24</x:v>
      </x:c>
      <x:c r="B11" s="12" t="str">
        <x:v>15:30–16:00</x:v>
      </x:c>
      <x:c r="C11" s="12" t="str">
        <x:v>工作块</x:v>
      </x:c>
      <x:c r="D11" s="12" t="str">
        <x:v>W4</x:v>
      </x:c>
      <x:c r="E11" s="12" t="str">
        <x:v>Chapter 1 审查与编译</x:v>
      </x:c>
      <x:c r="F11" s="12" t="str">
        <x:v>提前 10 分钟</x:v>
      </x:c>
      <x:c r="G11" s="12" t="str">
        <x:v>开始 W4：Chapter 1 审查与编译。结束时按模板回报：状态、产出、指标、阻塞、下一块。</x:v>
      </x:c>
      <x:c r="H11" s="12" t="str">
        <x:v>否</x:v>
      </x:c>
    </x:row>
    <x:row r="12">
      <x:c r="A12" s="12" t="str">
        <x:v>2026-06-24</x:v>
      </x:c>
      <x:c r="B12" s="12" t="str">
        <x:v>18:30–20:15</x:v>
      </x:c>
      <x:c r="C12" s="12" t="str">
        <x:v>工作块</x:v>
      </x:c>
      <x:c r="D12" s="12" t="str">
        <x:v>W5</x:v>
      </x:c>
      <x:c r="E12" s="12" t="str">
        <x:v>建立文献矩阵</x:v>
      </x:c>
      <x:c r="F12" s="12" t="str">
        <x:v>提前 10 分钟</x:v>
      </x:c>
      <x:c r="G12" s="12" t="str">
        <x:v>开始 W5：建立文献矩阵。结束时按模板回报：状态、产出、指标、阻塞、下一块。</x:v>
      </x:c>
      <x:c r="H12" s="12" t="str">
        <x:v>否</x:v>
      </x:c>
    </x:row>
    <x:row r="13">
      <x:c r="A13" s="12" t="str">
        <x:v>2026-06-24</x:v>
      </x:c>
      <x:c r="B13" s="12" t="str">
        <x:v>20:30–22:30</x:v>
      </x:c>
      <x:c r="C13" s="12" t="str">
        <x:v>工作块</x:v>
      </x:c>
      <x:c r="D13" s="12" t="str">
        <x:v>W6</x:v>
      </x:c>
      <x:c r="E13" s="12" t="str">
        <x:v>写 Chapter 2 前半</x:v>
      </x:c>
      <x:c r="F13" s="12" t="str">
        <x:v>提前 10 分钟</x:v>
      </x:c>
      <x:c r="G13" s="12" t="str">
        <x:v>开始 W6：写 Chapter 2 前半。结束时按模板回报：状态、产出、指标、阻塞、下一块。</x:v>
      </x:c>
      <x:c r="H13" s="12" t="str">
        <x:v>否</x:v>
      </x:c>
    </x:row>
    <x:row r="14">
      <x:c r="A14" s="12" t="str">
        <x:v>2026-06-24</x:v>
      </x:c>
      <x:c r="B14" s="12" t="str">
        <x:v>22:30–23:00</x:v>
      </x:c>
      <x:c r="C14" s="12" t="str">
        <x:v>工作块</x:v>
      </x:c>
      <x:c r="D14" s="12" t="str">
        <x:v>W7</x:v>
      </x:c>
      <x:c r="E14" s="12" t="str">
        <x:v>日终编译与重复检查</x:v>
      </x:c>
      <x:c r="F14" s="12" t="str">
        <x:v>提前 10 分钟</x:v>
      </x:c>
      <x:c r="G14" s="12" t="str">
        <x:v>开始 W7：日终编译与重复检查。结束时按模板回报：状态、产出、指标、阻塞、下一块。</x:v>
      </x:c>
      <x:c r="H14" s="12" t="str">
        <x:v>否</x:v>
      </x:c>
    </x:row>
    <x:row r="15">
      <x:c r="A15" s="12" t="str">
        <x:v>2026-06-24</x:v>
      </x:c>
      <x:c r="B15" s="12" t="str">
        <x:v>23:00</x:v>
      </x:c>
      <x:c r="C15" s="12" t="str">
        <x:v>日终汇报</x:v>
      </x:c>
      <x:c r="D15" s="12" t="str">
        <x:v>DR-06/24</x:v>
      </x:c>
      <x:c r="E15" s="12" t="str">
        <x:v>填写每日汇报并 commit</x:v>
      </x:c>
      <x:c r="F15" s="12" t="str">
        <x:v>准点</x:v>
      </x:c>
      <x:c r="G15" s="12" t="str">
        <x:v>填写每日汇报；确认 Chapter 1 完整、Chapter 2 至少 30%。</x:v>
      </x:c>
      <x:c r="H15" s="12" t="str">
        <x:v>是</x:v>
      </x:c>
    </x:row>
    <x:row r="16">
      <x:c r="A16" s="12" t="str">
        <x:v>2026-06-24</x:v>
      </x:c>
      <x:c r="B16" s="12" t="str">
        <x:v>23:00</x:v>
      </x:c>
      <x:c r="C16" s="12" t="str">
        <x:v>硬里程碑</x:v>
      </x:c>
      <x:c r="D16" s="12" t="str">
        <x:v>MS-02</x:v>
      </x:c>
      <x:c r="E16" s="12" t="str">
        <x:v>Chapter 1 完成</x:v>
      </x:c>
      <x:c r="F16" s="12" t="str">
        <x:v>提前 30 分钟</x:v>
      </x:c>
      <x:c r="G16" s="12" t="str">
        <x:v>Chapter 1 完整可读；Chapter 2 至少完成 30%。</x:v>
      </x:c>
      <x:c r="H16" s="12" t="str">
        <x:v>否</x:v>
      </x:c>
    </x:row>
    <x:row r="17">
      <x:c r="A17" s="12" t="str">
        <x:v>2026-06-25</x:v>
      </x:c>
      <x:c r="B17" s="12" t="str">
        <x:v>09:45–12:00</x:v>
      </x:c>
      <x:c r="C17" s="12" t="str">
        <x:v>工作块</x:v>
      </x:c>
      <x:c r="D17" s="12" t="str">
        <x:v>H1</x:v>
      </x:c>
      <x:c r="E17" s="12" t="str">
        <x:v>写服务质量文献</x:v>
      </x:c>
      <x:c r="F17" s="12" t="str">
        <x:v>提前 10 分钟</x:v>
      </x:c>
      <x:c r="G17" s="12" t="str">
        <x:v>开始 H1：写服务质量文献。结束时按模板回报：状态、产出、指标、阻塞、下一块。</x:v>
      </x:c>
      <x:c r="H17" s="12" t="str">
        <x:v>否</x:v>
      </x:c>
    </x:row>
    <x:row r="18">
      <x:c r="A18" s="12" t="str">
        <x:v>2026-06-25</x:v>
      </x:c>
      <x:c r="B18" s="12" t="str">
        <x:v>12:45–13:35</x:v>
      </x:c>
      <x:c r="C18" s="12" t="str">
        <x:v>工作块</x:v>
      </x:c>
      <x:c r="D18" s="12" t="str">
        <x:v>H2</x:v>
      </x:c>
      <x:c r="E18" s="12" t="str">
        <x:v>写维修相关文献</x:v>
      </x:c>
      <x:c r="F18" s="12" t="str">
        <x:v>提前 10 分钟</x:v>
      </x:c>
      <x:c r="G18" s="12" t="str">
        <x:v>开始 H2：写维修相关文献。结束时按模板回报：状态、产出、指标、阻塞、下一块。</x:v>
      </x:c>
      <x:c r="H18" s="12" t="str">
        <x:v>否</x:v>
      </x:c>
    </x:row>
    <x:row r="19">
      <x:c r="A19" s="12" t="str">
        <x:v>2026-06-25</x:v>
      </x:c>
      <x:c r="B19" s="12" t="str">
        <x:v>19:00–21:00</x:v>
      </x:c>
      <x:c r="C19" s="12" t="str">
        <x:v>工作块</x:v>
      </x:c>
      <x:c r="D19" s="12" t="str">
        <x:v>H3</x:v>
      </x:c>
      <x:c r="E19" s="12" t="str">
        <x:v>写 CFRS 综合综述</x:v>
      </x:c>
      <x:c r="F19" s="12" t="str">
        <x:v>提前 10 分钟</x:v>
      </x:c>
      <x:c r="G19" s="12" t="str">
        <x:v>开始 H3：写 CFRS 综合综述。结束时按模板回报：状态、产出、指标、阻塞、下一块。</x:v>
      </x:c>
      <x:c r="H19" s="12" t="str">
        <x:v>否</x:v>
      </x:c>
    </x:row>
    <x:row r="20">
      <x:c r="A20" s="12" t="str">
        <x:v>2026-06-25</x:v>
      </x:c>
      <x:c r="B20" s="12" t="str">
        <x:v>21:15–22:30</x:v>
      </x:c>
      <x:c r="C20" s="12" t="str">
        <x:v>工作块</x:v>
      </x:c>
      <x:c r="D20" s="12" t="str">
        <x:v>H4</x:v>
      </x:c>
      <x:c r="E20" s="12" t="str">
        <x:v>写综合 research gap</x:v>
      </x:c>
      <x:c r="F20" s="12" t="str">
        <x:v>提前 10 分钟</x:v>
      </x:c>
      <x:c r="G20" s="12" t="str">
        <x:v>开始 H4：写综合 research gap。结束时按模板回报：状态、产出、指标、阻塞、下一块。</x:v>
      </x:c>
      <x:c r="H20" s="12" t="str">
        <x:v>否</x:v>
      </x:c>
    </x:row>
    <x:row r="21">
      <x:c r="A21" s="12" t="str">
        <x:v>2026-06-25</x:v>
      </x:c>
      <x:c r="B21" s="12" t="str">
        <x:v>22:30–23:15</x:v>
      </x:c>
      <x:c r="C21" s="12" t="str">
        <x:v>工作块</x:v>
      </x:c>
      <x:c r="D21" s="12" t="str">
        <x:v>H5</x:v>
      </x:c>
      <x:c r="E21" s="12" t="str">
        <x:v>去拼接感并编译</x:v>
      </x:c>
      <x:c r="F21" s="12" t="str">
        <x:v>提前 10 分钟</x:v>
      </x:c>
      <x:c r="G21" s="12" t="str">
        <x:v>开始 H5：去拼接感并编译。结束时按模板回报：状态、产出、指标、阻塞、下一块。</x:v>
      </x:c>
      <x:c r="H21" s="12" t="str">
        <x:v>否</x:v>
      </x:c>
    </x:row>
    <x:row r="22">
      <x:c r="A22" s="12" t="str">
        <x:v>2026-06-25</x:v>
      </x:c>
      <x:c r="B22" s="12" t="str">
        <x:v>23:15</x:v>
      </x:c>
      <x:c r="C22" s="12" t="str">
        <x:v>日终汇报</x:v>
      </x:c>
      <x:c r="D22" s="12" t="str">
        <x:v>DR-06/25</x:v>
      </x:c>
      <x:c r="E22" s="12" t="str">
        <x:v>填写每日汇报并 commit</x:v>
      </x:c>
      <x:c r="F22" s="12" t="str">
        <x:v>准点</x:v>
      </x:c>
      <x:c r="G22" s="12" t="str">
        <x:v>填写每日汇报；确认 Chapter 1–2 完整且 gap/RQ 对齐。</x:v>
      </x:c>
      <x:c r="H22" s="12" t="str">
        <x:v>是</x:v>
      </x:c>
    </x:row>
    <x:row r="23">
      <x:c r="A23" s="12" t="str">
        <x:v>2026-06-25</x:v>
      </x:c>
      <x:c r="B23" s="12" t="str">
        <x:v>23:15</x:v>
      </x:c>
      <x:c r="C23" s="12" t="str">
        <x:v>硬里程碑</x:v>
      </x:c>
      <x:c r="D23" s="12" t="str">
        <x:v>MS-03</x:v>
      </x:c>
      <x:c r="E23" s="12" t="str">
        <x:v>Chapter 1–2 完整</x:v>
      </x:c>
      <x:c r="F23" s="12" t="str">
        <x:v>提前 30 分钟</x:v>
      </x:c>
      <x:c r="G23" s="12" t="str">
        <x:v>两章均有完整初稿；research gaps 与 RQ 对齐。</x:v>
      </x:c>
      <x:c r="H23" s="12" t="str">
        <x:v>否</x:v>
      </x:c>
    </x:row>
    <x:row r="24">
      <x:c r="A24" s="12" t="str">
        <x:v>2026-06-26</x:v>
      </x:c>
      <x:c r="B24" s="12" t="str">
        <x:v>09:45–10:15</x:v>
      </x:c>
      <x:c r="C24" s="12" t="str">
        <x:v>工作块</x:v>
      </x:c>
      <x:c r="D24" s="12" t="str">
        <x:v>F1</x:v>
      </x:c>
      <x:c r="E24" s="12" t="str">
        <x:v>读取并分类 Codex 差异报告</x:v>
      </x:c>
      <x:c r="F24" s="12" t="str">
        <x:v>提前 10 分钟</x:v>
      </x:c>
      <x:c r="G24" s="12" t="str">
        <x:v>开始 F1：读取并分类 Codex 差异报告。结束时按模板回报：状态、产出、指标、阻塞、下一块。</x:v>
      </x:c>
      <x:c r="H24" s="12" t="str">
        <x:v>否</x:v>
      </x:c>
    </x:row>
    <x:row r="25">
      <x:c r="A25" s="12" t="str">
        <x:v>2026-06-26</x:v>
      </x:c>
      <x:c r="B25" s="12" t="str">
        <x:v>10:15–12:15</x:v>
      </x:c>
      <x:c r="C25" s="12" t="str">
        <x:v>工作块</x:v>
      </x:c>
      <x:c r="D25" s="12" t="str">
        <x:v>F2</x:v>
      </x:c>
      <x:c r="E25" s="12" t="str">
        <x:v>Chapter 3 技术审查与过渡</x:v>
      </x:c>
      <x:c r="F25" s="12" t="str">
        <x:v>提前 10 分钟</x:v>
      </x:c>
      <x:c r="G25" s="12" t="str">
        <x:v>开始 F2：Chapter 3 技术审查与过渡。结束时按模板回报：状态、产出、指标、阻塞、下一块。</x:v>
      </x:c>
      <x:c r="H25" s="12" t="str">
        <x:v>否</x:v>
      </x:c>
    </x:row>
    <x:row r="26">
      <x:c r="A26" s="12" t="str">
        <x:v>2026-06-26</x:v>
      </x:c>
      <x:c r="B26" s="12" t="str">
        <x:v>12:45–13:35</x:v>
      </x:c>
      <x:c r="C26" s="12" t="str">
        <x:v>工作块</x:v>
      </x:c>
      <x:c r="D26" s="12" t="str">
        <x:v>F3</x:v>
      </x:c>
      <x:c r="E26" s="12" t="str">
        <x:v>恢复 Chapter 3/5 图件</x:v>
      </x:c>
      <x:c r="F26" s="12" t="str">
        <x:v>提前 10 分钟</x:v>
      </x:c>
      <x:c r="G26" s="12" t="str">
        <x:v>开始 F3：恢复 Chapter 3/5 图件。结束时按模板回报：状态、产出、指标、阻塞、下一块。</x:v>
      </x:c>
      <x:c r="H26" s="12" t="str">
        <x:v>否</x:v>
      </x:c>
    </x:row>
    <x:row r="27">
      <x:c r="A27" s="12" t="str">
        <x:v>2026-06-26</x:v>
      </x:c>
      <x:c r="B27" s="12" t="str">
        <x:v>19:00–20:45</x:v>
      </x:c>
      <x:c r="C27" s="12" t="str">
        <x:v>工作块</x:v>
      </x:c>
      <x:c r="D27" s="12" t="str">
        <x:v>F4</x:v>
      </x:c>
      <x:c r="E27" s="12" t="str">
        <x:v>Chapter 4 模型审查</x:v>
      </x:c>
      <x:c r="F27" s="12" t="str">
        <x:v>提前 10 分钟</x:v>
      </x:c>
      <x:c r="G27" s="12" t="str">
        <x:v>开始 F4：Chapter 4 模型审查。结束时按模板回报：状态、产出、指标、阻塞、下一块。</x:v>
      </x:c>
      <x:c r="H27" s="12" t="str">
        <x:v>否</x:v>
      </x:c>
    </x:row>
    <x:row r="28">
      <x:c r="A28" s="12" t="str">
        <x:v>2026-06-26</x:v>
      </x:c>
      <x:c r="B28" s="12" t="str">
        <x:v>21:00–22:15</x:v>
      </x:c>
      <x:c r="C28" s="12" t="str">
        <x:v>工作块</x:v>
      </x:c>
      <x:c r="D28" s="12" t="str">
        <x:v>F5</x:v>
      </x:c>
      <x:c r="E28" s="12" t="str">
        <x:v>清理 Chapter 4 论述</x:v>
      </x:c>
      <x:c r="F28" s="12" t="str">
        <x:v>提前 10 分钟</x:v>
      </x:c>
      <x:c r="G28" s="12" t="str">
        <x:v>开始 F5：清理 Chapter 4 论述。结束时按模板回报：状态、产出、指标、阻塞、下一块。</x:v>
      </x:c>
      <x:c r="H28" s="12" t="str">
        <x:v>否</x:v>
      </x:c>
    </x:row>
    <x:row r="29">
      <x:c r="A29" s="12" t="str">
        <x:v>2026-06-26</x:v>
      </x:c>
      <x:c r="B29" s="12" t="str">
        <x:v>22:15–23:15</x:v>
      </x:c>
      <x:c r="C29" s="12" t="str">
        <x:v>工作块</x:v>
      </x:c>
      <x:c r="D29" s="12" t="str">
        <x:v>F6</x:v>
      </x:c>
      <x:c r="E29" s="12" t="str">
        <x:v>稳定正文—附录接口</x:v>
      </x:c>
      <x:c r="F29" s="12" t="str">
        <x:v>提前 10 分钟</x:v>
      </x:c>
      <x:c r="G29" s="12" t="str">
        <x:v>开始 F6：稳定正文—附录接口。结束时按模板回报：状态、产出、指标、阻塞、下一块。</x:v>
      </x:c>
      <x:c r="H29" s="12" t="str">
        <x:v>否</x:v>
      </x:c>
    </x:row>
    <x:row r="30">
      <x:c r="A30" s="12" t="str">
        <x:v>2026-06-26</x:v>
      </x:c>
      <x:c r="B30" s="12" t="str">
        <x:v>23:15</x:v>
      </x:c>
      <x:c r="C30" s="12" t="str">
        <x:v>日终汇报</x:v>
      </x:c>
      <x:c r="D30" s="12" t="str">
        <x:v>DR-06/26</x:v>
      </x:c>
      <x:c r="E30" s="12" t="str">
        <x:v>填写每日汇报并 commit</x:v>
      </x:c>
      <x:c r="F30" s="12" t="str">
        <x:v>准点</x:v>
      </x:c>
      <x:c r="G30" s="12" t="str">
        <x:v>填写每日汇报；确认 Ch3 完成、Ch4 数学风险受控、硬编码引用修复。</x:v>
      </x:c>
      <x:c r="H30" s="12" t="str">
        <x:v>是</x:v>
      </x:c>
    </x:row>
    <x:row r="31">
      <x:c r="A31" s="12" t="str">
        <x:v>2026-06-26</x:v>
      </x:c>
      <x:c r="B31" s="12" t="str">
        <x:v>23:15</x:v>
      </x:c>
      <x:c r="C31" s="12" t="str">
        <x:v>硬里程碑</x:v>
      </x:c>
      <x:c r="D31" s="12" t="str">
        <x:v>MS-04</x:v>
      </x:c>
      <x:c r="E31" s="12" t="str">
        <x:v>技术风险受控</x:v>
      </x:c>
      <x:c r="F31" s="12" t="str">
        <x:v>提前 30 分钟</x:v>
      </x:c>
      <x:c r="G31" s="12" t="str">
        <x:v>Chapter 3 整合完成；Chapter 4 数学风险受控；主要编号/引用修复。</x:v>
      </x:c>
      <x:c r="H31" s="12" t="str">
        <x:v>否</x:v>
      </x:c>
    </x:row>
    <x:row r="32">
      <x:c r="A32" s="12" t="str">
        <x:v>2026-06-28</x:v>
      </x:c>
      <x:c r="B32" s="12" t="str">
        <x:v>09:30–10:30</x:v>
      </x:c>
      <x:c r="C32" s="12" t="str">
        <x:v>工作块</x:v>
      </x:c>
      <x:c r="D32" s="12" t="str">
        <x:v>S1</x:v>
      </x:c>
      <x:c r="E32" s="12" t="str">
        <x:v>准备导师汇报包</x:v>
      </x:c>
      <x:c r="F32" s="12" t="str">
        <x:v>提前 10 分钟</x:v>
      </x:c>
      <x:c r="G32" s="12" t="str">
        <x:v>开始 S1：准备导师汇报包。结束时按模板回报：状态、产出、指标、阻塞、下一块。</x:v>
      </x:c>
      <x:c r="H32" s="12" t="str">
        <x:v>否</x:v>
      </x:c>
    </x:row>
    <x:row r="33">
      <x:c r="A33" s="12" t="str">
        <x:v>2026-06-28</x:v>
      </x:c>
      <x:c r="B33" s="12" t="str">
        <x:v>10:30–12:30</x:v>
      </x:c>
      <x:c r="C33" s="12" t="str">
        <x:v>工作块</x:v>
      </x:c>
      <x:c r="D33" s="12" t="str">
        <x:v>S2</x:v>
      </x:c>
      <x:c r="E33" s="12" t="str">
        <x:v>导师会议/等待缓冲</x:v>
      </x:c>
      <x:c r="F33" s="12" t="str">
        <x:v>提前 10 分钟</x:v>
      </x:c>
      <x:c r="G33" s="12" t="str">
        <x:v>开始 S2：导师会议/等待缓冲。结束时按模板回报：状态、产出、指标、阻塞、下一块。</x:v>
      </x:c>
      <x:c r="H33" s="12" t="str">
        <x:v>否</x:v>
      </x:c>
    </x:row>
    <x:row r="34">
      <x:c r="A34" s="12" t="str">
        <x:v>2026-06-28</x:v>
      </x:c>
      <x:c r="B34" s="12" t="str">
        <x:v>13:30–15:30</x:v>
      </x:c>
      <x:c r="C34" s="12" t="str">
        <x:v>工作块</x:v>
      </x:c>
      <x:c r="D34" s="12" t="str">
        <x:v>S3</x:v>
      </x:c>
      <x:c r="E34" s="12" t="str">
        <x:v>Chapter 4 最终整合</x:v>
      </x:c>
      <x:c r="F34" s="12" t="str">
        <x:v>提前 10 分钟</x:v>
      </x:c>
      <x:c r="G34" s="12" t="str">
        <x:v>开始 S3：Chapter 4 最终整合。结束时按模板回报：状态、产出、指标、阻塞、下一块。</x:v>
      </x:c>
      <x:c r="H34" s="12" t="str">
        <x:v>否</x:v>
      </x:c>
    </x:row>
    <x:row r="35">
      <x:c r="A35" s="12" t="str">
        <x:v>2026-06-28</x:v>
      </x:c>
      <x:c r="B35" s="12" t="str">
        <x:v>15:45–17:30</x:v>
      </x:c>
      <x:c r="C35" s="12" t="str">
        <x:v>工作块</x:v>
      </x:c>
      <x:c r="D35" s="12" t="str">
        <x:v>S4</x:v>
      </x:c>
      <x:c r="E35" s="12" t="str">
        <x:v>Chapter 5 章际整合</x:v>
      </x:c>
      <x:c r="F35" s="12" t="str">
        <x:v>提前 10 分钟</x:v>
      </x:c>
      <x:c r="G35" s="12" t="str">
        <x:v>开始 S4：Chapter 5 章际整合。结束时按模板回报：状态、产出、指标、阻塞、下一块。</x:v>
      </x:c>
      <x:c r="H35" s="12" t="str">
        <x:v>否</x:v>
      </x:c>
    </x:row>
    <x:row r="36">
      <x:c r="A36" s="12" t="str">
        <x:v>2026-06-28</x:v>
      </x:c>
      <x:c r="B36" s="12" t="str">
        <x:v>18:30–20:30</x:v>
      </x:c>
      <x:c r="C36" s="12" t="str">
        <x:v>工作块</x:v>
      </x:c>
      <x:c r="D36" s="12" t="str">
        <x:v>S5</x:v>
      </x:c>
      <x:c r="E36" s="12" t="str">
        <x:v>重写 Chapter 6</x:v>
      </x:c>
      <x:c r="F36" s="12" t="str">
        <x:v>提前 10 分钟</x:v>
      </x:c>
      <x:c r="G36" s="12" t="str">
        <x:v>开始 S5：重写 Chapter 6。结束时按模板回报：状态、产出、指标、阻塞、下一块。</x:v>
      </x:c>
      <x:c r="H36" s="12" t="str">
        <x:v>否</x:v>
      </x:c>
    </x:row>
    <x:row r="37">
      <x:c r="A37" s="12" t="str">
        <x:v>2026-06-28</x:v>
      </x:c>
      <x:c r="B37" s="12" t="str">
        <x:v>20:45–22:00</x:v>
      </x:c>
      <x:c r="C37" s="12" t="str">
        <x:v>工作块</x:v>
      </x:c>
      <x:c r="D37" s="12" t="str">
        <x:v>S6</x:v>
      </x:c>
      <x:c r="E37" s="12" t="str">
        <x:v>完成摘要和前置部分</x:v>
      </x:c>
      <x:c r="F37" s="12" t="str">
        <x:v>提前 10 分钟</x:v>
      </x:c>
      <x:c r="G37" s="12" t="str">
        <x:v>开始 S6：完成摘要和前置部分。结束时按模板回报：状态、产出、指标、阻塞、下一块。</x:v>
      </x:c>
      <x:c r="H37" s="12" t="str">
        <x:v>否</x:v>
      </x:c>
    </x:row>
    <x:row r="38">
      <x:c r="A38" s="12" t="str">
        <x:v>2026-06-28</x:v>
      </x:c>
      <x:c r="B38" s="12" t="str">
        <x:v>22:00–23:00</x:v>
      </x:c>
      <x:c r="C38" s="12" t="str">
        <x:v>工作块</x:v>
      </x:c>
      <x:c r="D38" s="12" t="str">
        <x:v>S7</x:v>
      </x:c>
      <x:c r="E38" s="12" t="str">
        <x:v>执行内容冻结</x:v>
      </x:c>
      <x:c r="F38" s="12" t="str">
        <x:v>提前 10 分钟</x:v>
      </x:c>
      <x:c r="G38" s="12" t="str">
        <x:v>开始 S7：执行内容冻结。结束时按模板回报：状态、产出、指标、阻塞、下一块。</x:v>
      </x:c>
      <x:c r="H38" s="12" t="str">
        <x:v>否</x:v>
      </x:c>
    </x:row>
    <x:row r="39">
      <x:c r="A39" s="12" t="str">
        <x:v>2026-06-28</x:v>
      </x:c>
      <x:c r="B39" s="12" t="str">
        <x:v>23:00</x:v>
      </x:c>
      <x:c r="C39" s="12" t="str">
        <x:v>内容冻结</x:v>
      </x:c>
      <x:c r="D39" s="12" t="str">
        <x:v>MS-05</x:v>
      </x:c>
      <x:c r="E39" s="12" t="str">
        <x:v>内容冻结检查</x:v>
      </x:c>
      <x:c r="F39" s="12" t="str">
        <x:v>提前 60/准点</x:v>
      </x:c>
      <x:c r="G39" s="12" t="str">
        <x:v>只允许 P0 修复；禁止新增文献、重写模型、调整实验和全章无差别润色。</x:v>
      </x:c>
      <x:c r="H39" s="12" t="str">
        <x:v>是</x:v>
      </x:c>
    </x:row>
    <x:row r="40">
      <x:c r="A40" s="12" t="str">
        <x:v>2026-06-28</x:v>
      </x:c>
      <x:c r="B40" s="12" t="str">
        <x:v>23:00</x:v>
      </x:c>
      <x:c r="C40" s="12" t="str">
        <x:v>硬里程碑</x:v>
      </x:c>
      <x:c r="D40" s="12" t="str">
        <x:v>MS-05</x:v>
      </x:c>
      <x:c r="E40" s="12" t="str">
        <x:v>内容冻结</x:v>
      </x:c>
      <x:c r="F40" s="12" t="str">
        <x:v>提前 30 分钟</x:v>
      </x:c>
      <x:c r="G40" s="12" t="str">
        <x:v>所有章节、图、摘要和前置部分完整；无 TODO/placeholder；生成冻结 PDF。</x:v>
      </x:c>
      <x:c r="H40" s="12" t="str">
        <x:v>是</x:v>
      </x:c>
    </x:row>
    <x:row r="41">
      <x:c r="A41" s="12" t="str">
        <x:v>2026-06-29</x:v>
      </x:c>
      <x:c r="B41" s="12" t="str">
        <x:v>09:30–10:15</x:v>
      </x:c>
      <x:c r="C41" s="12" t="str">
        <x:v>工作块</x:v>
      </x:c>
      <x:c r="D41" s="12" t="str">
        <x:v>M1</x:v>
      </x:c>
      <x:c r="E41" s="12" t="str">
        <x:v>执行 clean build</x:v>
      </x:c>
      <x:c r="F41" s="12" t="str">
        <x:v>提前 10 分钟</x:v>
      </x:c>
      <x:c r="G41" s="12" t="str">
        <x:v>开始 M1：执行 clean build。结束时按模板回报：状态、产出、指标、阻塞、下一块。</x:v>
      </x:c>
      <x:c r="H41" s="12" t="str">
        <x:v>否</x:v>
      </x:c>
    </x:row>
    <x:row r="42">
      <x:c r="A42" s="12" t="str">
        <x:v>2026-06-29</x:v>
      </x:c>
      <x:c r="B42" s="12" t="str">
        <x:v>10:15–11:15</x:v>
      </x:c>
      <x:c r="C42" s="12" t="str">
        <x:v>工作块</x:v>
      </x:c>
      <x:c r="D42" s="12" t="str">
        <x:v>M2</x:v>
      </x:c>
      <x:c r="E42" s="12" t="str">
        <x:v>核对结果一致性</x:v>
      </x:c>
      <x:c r="F42" s="12" t="str">
        <x:v>提前 10 分钟</x:v>
      </x:c>
      <x:c r="G42" s="12" t="str">
        <x:v>开始 M2：核对结果一致性。结束时按模板回报：状态、产出、指标、阻塞、下一块。</x:v>
      </x:c>
      <x:c r="H42" s="12" t="str">
        <x:v>否</x:v>
      </x:c>
    </x:row>
    <x:row r="43">
      <x:c r="A43" s="12" t="str">
        <x:v>2026-06-29</x:v>
      </x:c>
      <x:c r="B43" s="12" t="str">
        <x:v>11:15–12:00</x:v>
      </x:c>
      <x:c r="C43" s="12" t="str">
        <x:v>工作块</x:v>
      </x:c>
      <x:c r="D43" s="12" t="str">
        <x:v>M3</x:v>
      </x:c>
      <x:c r="E43" s="12" t="str">
        <x:v>扫描语言风险</x:v>
      </x:c>
      <x:c r="F43" s="12" t="str">
        <x:v>提前 10 分钟</x:v>
      </x:c>
      <x:c r="G43" s="12" t="str">
        <x:v>开始 M3：扫描语言风险。结束时按模板回报：状态、产出、指标、阻塞、下一块。</x:v>
      </x:c>
      <x:c r="H43" s="12" t="str">
        <x:v>否</x:v>
      </x:c>
    </x:row>
    <x:row r="44">
      <x:c r="A44" s="12" t="str">
        <x:v>2026-06-29</x:v>
      </x:c>
      <x:c r="B44" s="12" t="str">
        <x:v>12:00–12:30</x:v>
      </x:c>
      <x:c r="C44" s="12" t="str">
        <x:v>工作块</x:v>
      </x:c>
      <x:c r="D44" s="12" t="str">
        <x:v>M4</x:v>
      </x:c>
      <x:c r="E44" s="12" t="str">
        <x:v>生成并发送 supervisor-ready 包</x:v>
      </x:c>
      <x:c r="F44" s="12" t="str">
        <x:v>提前 10 分钟</x:v>
      </x:c>
      <x:c r="G44" s="12" t="str">
        <x:v>开始 M4：生成并发送 supervisor-ready 包。结束时按模板回报：状态、产出、指标、阻塞、下一块。</x:v>
      </x:c>
      <x:c r="H44" s="12" t="str">
        <x:v>否</x:v>
      </x:c>
    </x:row>
    <x:row r="45">
      <x:c r="A45" s="12" t="str">
        <x:v>2026-06-29</x:v>
      </x:c>
      <x:c r="B45" s="12" t="str">
        <x:v>12:30</x:v>
      </x:c>
      <x:c r="C45" s="12" t="str">
        <x:v>提交截止</x:v>
      </x:c>
      <x:c r="D45" s="12" t="str">
        <x:v>MS-06</x:v>
      </x:c>
      <x:c r="E45" s="12" t="str">
        <x:v>Supervisor-ready PDF</x:v>
      </x:c>
      <x:c r="F45" s="12" t="str">
        <x:v>提前 30/准点</x:v>
      </x:c>
      <x:c r="G45" s="12" t="str">
        <x:v>确认 clean build、关键数字一致、PDF 与源码快照已准备并发送 supervisor。</x:v>
      </x:c>
      <x:c r="H45" s="12" t="str">
        <x:v>是</x:v>
      </x:c>
    </x:row>
    <x:row r="46">
      <x:c r="A46" s="12" t="str">
        <x:v>2026-06-29</x:v>
      </x:c>
      <x:c r="B46" s="12" t="str">
        <x:v>12:30</x:v>
      </x:c>
      <x:c r="C46" s="12" t="str">
        <x:v>硬里程碑</x:v>
      </x:c>
      <x:c r="D46" s="12" t="str">
        <x:v>MS-06</x:v>
      </x:c>
      <x:c r="E46" s="12" t="str">
        <x:v>Supervisor-ready 提交</x:v>
      </x:c>
      <x:c r="F46" s="12" t="str">
        <x:v>提前 30 分钟</x:v>
      </x:c>
      <x:c r="G46" s="12" t="str">
        <x:v>干净编译、结果一致、视觉检查通过；PDF 已发送 supervisor。</x:v>
      </x:c>
      <x:c r="H46" s="12" t="str">
        <x:v>是</x:v>
      </x:c>
    </x:row>
    <x:row r="47">
      <x:c r="A47" s="12" t="str">
        <x:v>2026-06-29</x:v>
      </x:c>
      <x:c r="B47" s="12" t="str">
        <x:v>19:00–21:00</x:v>
      </x:c>
      <x:c r="C47" s="12" t="str">
        <x:v>工作块</x:v>
      </x:c>
      <x:c r="D47" s="12" t="str">
        <x:v>M5</x:v>
      </x:c>
      <x:c r="E47" s="12" t="str">
        <x:v>处理 supervisor 反馈/严重错误</x:v>
      </x:c>
      <x:c r="F47" s="12" t="str">
        <x:v>提前 10 分钟</x:v>
      </x:c>
      <x:c r="G47" s="12" t="str">
        <x:v>开始 M5：处理 supervisor 反馈/严重错误。结束时按模板回报：状态、产出、指标、阻塞、下一块。</x:v>
      </x:c>
      <x:c r="H47" s="12" t="str">
        <x:v>否</x:v>
      </x:c>
    </x:row>
    <x:row r="48">
      <x:c r="A48" s="12" t="str">
        <x:v>2026-06-29</x:v>
      </x:c>
      <x:c r="B48" s="12" t="str">
        <x:v>21:15–22:30</x:v>
      </x:c>
      <x:c r="C48" s="12" t="str">
        <x:v>工作块</x:v>
      </x:c>
      <x:c r="D48" s="12" t="str">
        <x:v>M6</x:v>
      </x:c>
      <x:c r="E48" s="12" t="str">
        <x:v>最终视觉检查</x:v>
      </x:c>
      <x:c r="F48" s="12" t="str">
        <x:v>提前 10 分钟</x:v>
      </x:c>
      <x:c r="G48" s="12" t="str">
        <x:v>开始 M6：最终视觉检查。结束时按模板回报：状态、产出、指标、阻塞、下一块。</x:v>
      </x:c>
      <x:c r="H48" s="12" t="str">
        <x:v>否</x:v>
      </x:c>
    </x:row>
    <x:row r="49">
      <x:c r="A49" s="12" t="str">
        <x:v>2026-06-29</x:v>
      </x:c>
      <x:c r="B49" s="12" t="str">
        <x:v>22:30–23:00</x:v>
      </x:c>
      <x:c r="C49" s="12" t="str">
        <x:v>工作块</x:v>
      </x:c>
      <x:c r="D49" s="12" t="str">
        <x:v>M7</x:v>
      </x:c>
      <x:c r="E49" s="12" t="str">
        <x:v>归档最终版本</x:v>
      </x:c>
      <x:c r="F49" s="12" t="str">
        <x:v>提前 10 分钟</x:v>
      </x:c>
      <x:c r="G49" s="12" t="str">
        <x:v>开始 M7：归档最终版本。结束时按模板回报：状态、产出、指标、阻塞、下一块。</x:v>
      </x:c>
      <x:c r="H49" s="12" t="str">
        <x:v>否</x:v>
      </x:c>
    </x:row>
    <x:row r="50">
      <x:c r="A50" s="12" t="str">
        <x:v>2026-06-29</x:v>
      </x:c>
      <x:c r="B50" s="12" t="str">
        <x:v>23:00</x:v>
      </x:c>
      <x:c r="C50" s="12" t="str">
        <x:v>日终汇报</x:v>
      </x:c>
      <x:c r="D50" s="12" t="str">
        <x:v>DR-06/29</x:v>
      </x:c>
      <x:c r="E50" s="12" t="str">
        <x:v>反馈缓冲结束</x:v>
      </x:c>
      <x:c r="F50" s="12" t="str">
        <x:v>准点</x:v>
      </x:c>
      <x:c r="G50" s="12" t="str">
        <x:v>只记录反馈处理、P0 修复和最终视觉检查；不再扩写。</x:v>
      </x:c>
      <x:c r="H50" s="12" t="str">
        <x:v>是</x:v>
      </x:c>
    </x:row>
    <x:row r="51">
      <x:c r="A51" s="12" t="str">
        <x:v>2026-06-30</x:v>
      </x:c>
      <x:c r="B51" s="12" t="str">
        <x:v>09:30–11:30</x:v>
      </x:c>
      <x:c r="C51" s="12" t="str">
        <x:v>工作块</x:v>
      </x:c>
      <x:c r="D51" s="12" t="str">
        <x:v>E1</x:v>
      </x:c>
      <x:c r="E51" s="12" t="str">
        <x:v>处理明确反馈或致命问题</x:v>
      </x:c>
      <x:c r="F51" s="12" t="str">
        <x:v>提前 10 分钟</x:v>
      </x:c>
      <x:c r="G51" s="12" t="str">
        <x:v>开始 E1：处理明确反馈或致命问题。结束时按模板回报：状态、产出、指标、阻塞、下一块。</x:v>
      </x:c>
      <x:c r="H51" s="12" t="str">
        <x:v>否</x:v>
      </x:c>
    </x:row>
    <x:row r="52">
      <x:c r="A52" s="12" t="str">
        <x:v>2026-06-30</x:v>
      </x:c>
      <x:c r="B52" s="12" t="str">
        <x:v>11:30–12:00</x:v>
      </x:c>
      <x:c r="C52" s="12" t="str">
        <x:v>工作块</x:v>
      </x:c>
      <x:c r="D52" s="12" t="str">
        <x:v>E2</x:v>
      </x:c>
      <x:c r="E52" s="12" t="str">
        <x:v>最终 clean build 与提交</x:v>
      </x:c>
      <x:c r="F52" s="12" t="str">
        <x:v>提前 10 分钟</x:v>
      </x:c>
      <x:c r="G52" s="12" t="str">
        <x:v>开始 E2：最终 clean build 与提交。结束时按模板回报：状态、产出、指标、阻塞、下一块。</x:v>
      </x:c>
      <x:c r="H52" s="12" t="str">
        <x:v>否</x:v>
      </x:c>
    </x:row>
    <x:row r="53">
      <x:c r="A53" s="12" t="str">
        <x:v>2026-06-30</x:v>
      </x:c>
      <x:c r="B53" s="12" t="str">
        <x:v>12:00</x:v>
      </x:c>
      <x:c r="C53" s="12" t="str">
        <x:v>最终截止</x:v>
      </x:c>
      <x:c r="D53" s="12" t="str">
        <x:v>MS-07</x:v>
      </x:c>
      <x:c r="E53" s="12" t="str">
        <x:v>最终应急截止</x:v>
      </x:c>
      <x:c r="F53" s="12" t="str">
        <x:v>提前 30/准点</x:v>
      </x:c>
      <x:c r="G53" s="12" t="str">
        <x:v>完成 clean build、核对 PDF、提交；12:00 后不再自行开启新修改。</x:v>
      </x:c>
      <x:c r="H53" s="12" t="str">
        <x:v>是</x:v>
      </x:c>
    </x:row>
    <x:row r="54">
      <x:c r="A54" s="12" t="str">
        <x:v>2026-06-30</x:v>
      </x:c>
      <x:c r="B54" s="12" t="str">
        <x:v>12:00</x:v>
      </x:c>
      <x:c r="C54" s="12" t="str">
        <x:v>硬里程碑</x:v>
      </x:c>
      <x:c r="D54" s="12" t="str">
        <x:v>MS-07</x:v>
      </x:c>
      <x:c r="E54" s="12" t="str">
        <x:v>最终应急截止</x:v>
      </x:c>
      <x:c r="F54" s="12" t="str">
        <x:v>提前 30 分钟</x:v>
      </x:c>
      <x:c r="G54" s="12" t="str">
        <x:v>仅修复明确错误；最终 clean build 和提交完成。</x:v>
      </x:c>
      <x:c r="H54" s="12" t="str">
        <x:v>是</x:v>
      </x:c>
    </x:row>
    <x:row r="55">
      <x:c r="A55" s="12"/>
      <x:c r="B55" s="12"/>
      <x:c r="C55" s="12"/>
      <x:c r="D55" s="12"/>
      <x:c r="E55" s="12"/>
      <x:c r="F55" s="12"/>
      <x:c r="G55" s="12"/>
      <x:c r="H55" s="12"/>
    </x:row>
    <x:row r="56">
      <x:c r="A56" s="12"/>
      <x:c r="B56" s="12"/>
      <x:c r="C56" s="12"/>
      <x:c r="D56" s="12"/>
      <x:c r="E56" s="12"/>
      <x:c r="F56" s="12"/>
      <x:c r="G56" s="12"/>
      <x:c r="H56" s="12"/>
    </x:row>
    <x:row r="57">
      <x:c r="A57" s="12"/>
      <x:c r="B57" s="12"/>
      <x:c r="C57" s="12"/>
      <x:c r="D57" s="12"/>
      <x:c r="E57" s="12"/>
      <x:c r="F57" s="12"/>
      <x:c r="G57" s="12"/>
      <x:c r="H57" s="12"/>
    </x:row>
    <x:row r="58">
      <x:c r="A58" s="12"/>
      <x:c r="B58" s="12"/>
      <x:c r="C58" s="12"/>
      <x:c r="D58" s="12"/>
      <x:c r="E58" s="12"/>
      <x:c r="F58" s="12"/>
      <x:c r="G58" s="12"/>
      <x:c r="H58" s="12"/>
    </x:row>
    <x:row r="59">
      <x:c r="A59" s="12"/>
      <x:c r="B59" s="12"/>
      <x:c r="C59" s="12"/>
      <x:c r="D59" s="12"/>
      <x:c r="E59" s="12"/>
      <x:c r="F59" s="12"/>
      <x:c r="G59" s="12"/>
      <x:c r="H59" s="12"/>
    </x:row>
    <x:row r="60">
      <x:c r="A60" s="12"/>
      <x:c r="B60" s="12"/>
      <x:c r="C60" s="12"/>
      <x:c r="D60" s="12"/>
      <x:c r="E60" s="12"/>
      <x:c r="F60" s="12"/>
      <x:c r="G60" s="12"/>
      <x:c r="H60" s="12"/>
    </x:row>
    <x:row r="61">
      <x:c r="A61" s="12"/>
      <x:c r="B61" s="12"/>
      <x:c r="C61" s="12"/>
      <x:c r="D61" s="12"/>
      <x:c r="E61" s="12"/>
      <x:c r="F61" s="12"/>
      <x:c r="G61" s="12"/>
      <x:c r="H61" s="12"/>
    </x:row>
    <x:row r="62">
      <x:c r="A62" s="12"/>
      <x:c r="B62" s="12"/>
      <x:c r="C62" s="12"/>
      <x:c r="D62" s="12"/>
      <x:c r="E62" s="12"/>
      <x:c r="F62" s="12"/>
      <x:c r="G62" s="12"/>
      <x:c r="H62" s="12"/>
    </x:row>
    <x:row r="63">
      <x:c r="A63" s="12"/>
      <x:c r="B63" s="12"/>
      <x:c r="C63" s="12"/>
      <x:c r="D63" s="12"/>
      <x:c r="E63" s="12"/>
      <x:c r="F63" s="12"/>
      <x:c r="G63" s="12"/>
      <x:c r="H63" s="12"/>
    </x:row>
    <x:row r="64">
      <x:c r="A64" s="12"/>
      <x:c r="B64" s="12"/>
      <x:c r="C64" s="12"/>
      <x:c r="D64" s="12"/>
      <x:c r="E64" s="12"/>
      <x:c r="F64" s="12"/>
      <x:c r="G64" s="12"/>
      <x:c r="H64" s="12"/>
    </x:row>
    <x:row r="65">
      <x:c r="A65" s="12"/>
      <x:c r="B65" s="12"/>
      <x:c r="C65" s="12"/>
      <x:c r="D65" s="12"/>
      <x:c r="E65" s="12"/>
      <x:c r="F65" s="12"/>
      <x:c r="G65" s="12"/>
      <x:c r="H65" s="12"/>
    </x:row>
    <x:row r="66">
      <x:c r="A66" s="12"/>
      <x:c r="B66" s="12"/>
      <x:c r="C66" s="12"/>
      <x:c r="D66" s="12"/>
      <x:c r="E66" s="12"/>
      <x:c r="F66" s="12"/>
      <x:c r="G66" s="12"/>
      <x:c r="H66" s="12"/>
    </x:row>
    <x:row r="67">
      <x:c r="A67" s="12"/>
      <x:c r="B67" s="12"/>
      <x:c r="C67" s="12"/>
      <x:c r="D67" s="12"/>
      <x:c r="E67" s="12"/>
      <x:c r="F67" s="12"/>
      <x:c r="G67" s="12"/>
      <x:c r="H67" s="12"/>
    </x:row>
    <x:row r="68">
      <x:c r="A68" s="12"/>
      <x:c r="B68" s="12"/>
      <x:c r="C68" s="12"/>
      <x:c r="D68" s="12"/>
      <x:c r="E68" s="12"/>
      <x:c r="F68" s="12"/>
      <x:c r="G68" s="12"/>
      <x:c r="H68" s="12"/>
    </x:row>
    <x:row r="69">
      <x:c r="A69" s="12"/>
      <x:c r="B69" s="12"/>
      <x:c r="C69" s="12"/>
      <x:c r="D69" s="12"/>
      <x:c r="E69" s="12"/>
      <x:c r="F69" s="12"/>
      <x:c r="G69" s="12"/>
      <x:c r="H69" s="12"/>
    </x:row>
    <x:row r="70">
      <x:c r="A70" s="12"/>
      <x:c r="B70" s="12"/>
      <x:c r="C70" s="12"/>
      <x:c r="D70" s="12"/>
      <x:c r="E70" s="12"/>
      <x:c r="F70" s="12"/>
      <x:c r="G70" s="12"/>
      <x:c r="H70" s="12"/>
    </x:row>
    <x:row r="71">
      <x:c r="A71" s="12"/>
      <x:c r="B71" s="12"/>
      <x:c r="C71" s="12"/>
      <x:c r="D71" s="12"/>
      <x:c r="E71" s="12"/>
      <x:c r="F71" s="12"/>
      <x:c r="G71" s="12"/>
      <x:c r="H71" s="12"/>
    </x:row>
    <x:row r="72">
      <x:c r="A72" s="12"/>
      <x:c r="B72" s="12"/>
      <x:c r="C72" s="12"/>
      <x:c r="D72" s="12"/>
      <x:c r="E72" s="12"/>
      <x:c r="F72" s="12"/>
      <x:c r="G72" s="12"/>
      <x:c r="H72" s="12"/>
    </x:row>
    <x:row r="73">
      <x:c r="A73" s="12"/>
      <x:c r="B73" s="12"/>
      <x:c r="C73" s="12"/>
      <x:c r="D73" s="12"/>
      <x:c r="E73" s="12"/>
      <x:c r="F73" s="12"/>
      <x:c r="G73" s="12"/>
      <x:c r="H73" s="12"/>
    </x:row>
    <x:row r="74">
      <x:c r="A74" s="12"/>
      <x:c r="B74" s="12"/>
      <x:c r="C74" s="12"/>
      <x:c r="D74" s="12"/>
      <x:c r="E74" s="12"/>
      <x:c r="F74" s="12"/>
      <x:c r="G74" s="12"/>
      <x:c r="H74" s="12"/>
    </x:row>
    <x:row r="75">
      <x:c r="A75" s="12"/>
      <x:c r="B75" s="12"/>
      <x:c r="C75" s="12"/>
      <x:c r="D75" s="12"/>
      <x:c r="E75" s="12"/>
      <x:c r="F75" s="12"/>
      <x:c r="G75" s="12"/>
      <x:c r="H75" s="12"/>
    </x:row>
    <x:row r="76">
      <x:c r="A76" s="12"/>
      <x:c r="B76" s="12"/>
      <x:c r="C76" s="12"/>
      <x:c r="D76" s="12"/>
      <x:c r="E76" s="12"/>
      <x:c r="F76" s="12"/>
      <x:c r="G76" s="12"/>
      <x:c r="H76" s="12"/>
    </x:row>
    <x:row r="77">
      <x:c r="A77" s="12"/>
      <x:c r="B77" s="12"/>
      <x:c r="C77" s="12"/>
      <x:c r="D77" s="12"/>
      <x:c r="E77" s="12"/>
      <x:c r="F77" s="12"/>
      <x:c r="G77" s="12"/>
      <x:c r="H77" s="12"/>
    </x:row>
    <x:row r="78">
      <x:c r="A78" s="12"/>
      <x:c r="B78" s="12"/>
      <x:c r="C78" s="12"/>
      <x:c r="D78" s="12"/>
      <x:c r="E78" s="12"/>
      <x:c r="F78" s="12"/>
      <x:c r="G78" s="12"/>
      <x:c r="H78" s="12"/>
    </x:row>
    <x:row r="79">
      <x:c r="A79" s="12"/>
      <x:c r="B79" s="12"/>
      <x:c r="C79" s="12"/>
      <x:c r="D79" s="12"/>
      <x:c r="E79" s="12"/>
      <x:c r="F79" s="12"/>
      <x:c r="G79" s="12"/>
      <x:c r="H79" s="12"/>
    </x:row>
    <x:row r="80">
      <x:c r="A80" s="12"/>
      <x:c r="B80" s="12"/>
      <x:c r="C80" s="12"/>
      <x:c r="D80" s="12"/>
      <x:c r="E80" s="12"/>
      <x:c r="F80" s="12"/>
      <x:c r="G80" s="12"/>
      <x:c r="H80" s="12"/>
    </x:row>
  </x:sheetData>
  <x:pageMargins left="0.7" right="0.7" top="0.75" bottom="0.75" header="0.3" footer="0.3"/>
  <x:tableParts count="1">
    <x:tablePart xmlns:r="http://schemas.openxmlformats.org/officeDocument/2006/relationships" r:id="R771c230e9c1c47d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8" hidden="0" customWidth="1"/>
    <x:col min="4" max="4" width="28" hidden="0" customWidth="1"/>
    <x:col min="5" max="5" width="14" hidden="0" customWidth="1"/>
    <x:col min="6" max="6" width="20" hidden="0" customWidth="1"/>
    <x:col min="7" max="7" width="36" hidden="0" customWidth="1"/>
    <x:col min="8" max="8" width="28" hidden="0" customWidth="1"/>
  </x:cols>
  <x:sheetData>
    <x:row r="1">
      <x:c r="A1" s="312" t="str">
        <x:v>ChatGPT Project / Codex / Tracker 同步方案</x:v>
      </x:c>
      <x:c r="B1" s="312"/>
      <x:c r="C1" s="312"/>
      <x:c r="D1" s="312"/>
      <x:c r="E1" s="312"/>
      <x:c r="F1" s="312"/>
      <x:c r="G1" s="312"/>
      <x:c r="H1" s="312"/>
    </x:row>
    <x:row r="2">
      <x:c r="A2" s="312"/>
      <x:c r="B2" s="312"/>
      <x:c r="C2" s="312"/>
      <x:c r="D2" s="312"/>
      <x:c r="E2" s="312"/>
      <x:c r="F2" s="312"/>
      <x:c r="G2" s="312"/>
      <x:c r="H2" s="312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305" t="str">
        <x:v>结论：不要把 XLSX 当唯一事实来源</x:v>
      </x:c>
      <x:c r="B4" s="305"/>
      <x:c r="C4" s="305"/>
      <x:c r="D4" s="305"/>
      <x:c r="E4" s="305"/>
      <x:c r="F4" s="305"/>
      <x:c r="G4" s="305"/>
      <x:c r="H4" s="305"/>
    </x:row>
    <x:row r="5">
      <x:c r="A5" s="306" t="str">
        <x:v>推荐架构</x:v>
      </x:c>
      <x:c r="B5" s="273" t="str">
        <x:v>本地 thesis repo 是唯一事实来源；ChatGPT Project 只保存必要快照；Codex 更新文本状态文件并生成 XLSX。</x:v>
      </x:c>
      <x:c r="C5" s="273" t="str"/>
      <x:c r="D5" s="273" t="str"/>
      <x:c r="E5" s="273" t="str"/>
      <x:c r="F5" s="273" t="str"/>
      <x:c r="G5" s="273" t="str"/>
      <x:c r="H5" s="274" t="str"/>
    </x:row>
    <x:row r="6">
      <x:c r="A6" s="307" t="str">
        <x:v>原因</x:v>
      </x:c>
      <x:c r="B6" s="276" t="str">
        <x:v>XLSX 是展示看板，适合人读；YAML/Markdown 是状态源，适合 Codex 修改、Git diff、回滚和审查。</x:v>
      </x:c>
      <x:c r="C6" s="276" t="str"/>
      <x:c r="D6" s="276" t="str"/>
      <x:c r="E6" s="276" t="str"/>
      <x:c r="F6" s="276" t="str"/>
      <x:c r="G6" s="276" t="str"/>
      <x:c r="H6" s="277" t="str"/>
    </x:row>
    <x:row r="7">
      <x:c r="A7" s="308" t="str">
        <x:v>当前动作</x:v>
      </x:c>
      <x:c r="B7" s="279" t="str">
        <x:v>保持原写作计划不变；新增 P1 风险：建立 tracking source-of-truth，避免未来 tracker / conversation / repo 状态漂移。</x:v>
      </x:c>
      <x:c r="C7" s="279" t="str"/>
      <x:c r="D7" s="279" t="str"/>
      <x:c r="E7" s="279" t="str"/>
      <x:c r="F7" s="279" t="str"/>
      <x:c r="G7" s="279" t="str"/>
      <x:c r="H7" s="280" t="str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309" t="str">
        <x:v>文件/信息</x:v>
      </x:c>
      <x:c r="B10" s="310" t="str">
        <x:v>推荐事实来源</x:v>
      </x:c>
      <x:c r="C10" s="310" t="str">
        <x:v>ChatGPT 中的角色</x:v>
      </x:c>
      <x:c r="D10" s="310" t="str">
        <x:v>Codex 中的角色</x:v>
      </x:c>
      <x:c r="E10" s="310" t="str">
        <x:v>是否需要同步</x:v>
      </x:c>
      <x:c r="F10" s="310" t="str">
        <x:v>风险</x:v>
      </x:c>
      <x:c r="G10" s="310" t="str">
        <x:v>推荐同步方法</x:v>
      </x:c>
      <x:c r="H10" s="311" t="str">
        <x:v>备注</x:v>
      </x:c>
    </x:row>
    <x:row r="11">
      <x:c r="A11" s="288" t="str">
        <x:v>tracker_state.yml</x:v>
      </x:c>
      <x:c r="B11" s="289" t="str">
        <x:v>Repo tracking/</x:v>
      </x:c>
      <x:c r="C11" s="289" t="str">
        <x:v>只读取最新摘要或用户粘贴片段</x:v>
      </x:c>
      <x:c r="D11" s="289" t="str">
        <x:v>主维护对象</x:v>
      </x:c>
      <x:c r="E11" s="289" t="str">
        <x:v>是</x:v>
      </x:c>
      <x:c r="F11" s="289" t="str">
        <x:v>状态漂移</x:v>
      </x:c>
      <x:c r="G11" s="289" t="str">
        <x:v>Codex 修改 YAML；ChatGPT 输出 machine-readable update block</x:v>
      </x:c>
      <x:c r="H11" s="290" t="str">
        <x:v>建议新增</x:v>
      </x:c>
    </x:row>
    <x:row r="12">
      <x:c r="A12" s="288" t="str">
        <x:v>daily_log.md</x:v>
      </x:c>
      <x:c r="B12" s="289" t="str">
        <x:v>Repo tracking/</x:v>
      </x:c>
      <x:c r="C12" s="289" t="str">
        <x:v>日终汇报来源</x:v>
      </x:c>
      <x:c r="D12" s="289" t="str">
        <x:v>追加日志</x:v>
      </x:c>
      <x:c r="E12" s="289" t="str">
        <x:v>是</x:v>
      </x:c>
      <x:c r="F12" s="289" t="str">
        <x:v>遗漏日终状态</x:v>
      </x:c>
      <x:c r="G12" s="289" t="str">
        <x:v>每日结束由 Codex 追加；必要时贴给总控 conversation</x:v>
      </x:c>
      <x:c r="H12" s="290" t="str">
        <x:v>建议新增</x:v>
      </x:c>
    </x:row>
    <x:row r="13">
      <x:c r="A13" s="288" t="str">
        <x:v>issue_register.yml</x:v>
      </x:c>
      <x:c r="B13" s="289" t="str">
        <x:v>Repo tracking/</x:v>
      </x:c>
      <x:c r="C13" s="289" t="str">
        <x:v>判断 P0/P1/P2 的依据</x:v>
      </x:c>
      <x:c r="D13" s="289" t="str">
        <x:v>维护问题状态</x:v>
      </x:c>
      <x:c r="E13" s="289" t="str">
        <x:v>是</x:v>
      </x:c>
      <x:c r="F13" s="289" t="str">
        <x:v>P0 被遗忘</x:v>
      </x:c>
      <x:c r="G13" s="289" t="str">
        <x:v>Codex 更新；ChatGPT 每日复核高风险项</x:v>
      </x:c>
      <x:c r="H13" s="290" t="str">
        <x:v>建议新增</x:v>
      </x:c>
    </x:row>
    <x:row r="14">
      <x:c r="A14" s="288" t="str">
        <x:v>tracker.xlsx</x:v>
      </x:c>
      <x:c r="B14" s="289" t="str">
        <x:v>由脚本生成</x:v>
      </x:c>
      <x:c r="C14" s="289" t="str">
        <x:v>人类可视化看板</x:v>
      </x:c>
      <x:c r="D14" s="289" t="str">
        <x:v>不直接手改，除非明确要求</x:v>
      </x:c>
      <x:c r="E14" s="289" t="str">
        <x:v>是</x:v>
      </x:c>
      <x:c r="F14" s="289" t="str">
        <x:v>二进制难 diff</x:v>
      </x:c>
      <x:c r="G14" s="289" t="str">
        <x:v>由 update_tracker.py 从 YAML/MD 生成</x:v>
      </x:c>
      <x:c r="H14" s="290" t="str">
        <x:v>当前仍可临时手动更新</x:v>
      </x:c>
    </x:row>
    <x:row r="15">
      <x:c r="A15" s="288" t="str">
        <x:v>thesis_spine_2026-06-23.md</x:v>
      </x:c>
      <x:c r="B15" s="289" t="str">
        <x:v>Repo tracking/ + Project source</x:v>
      </x:c>
      <x:c r="C15" s="289" t="str">
        <x:v>冻结论文主线</x:v>
      </x:c>
      <x:c r="D15" s="289" t="str">
        <x:v>只读参考</x:v>
      </x:c>
      <x:c r="E15" s="289" t="str">
        <x:v>低频</x:v>
      </x:c>
      <x:c r="F15" s="289" t="str">
        <x:v>主线漂移</x:v>
      </x:c>
      <x:c r="G15" s="289" t="str">
        <x:v>只在重大决策后手动替换/重新上传</x:v>
      </x:c>
      <x:c r="H15" s="290" t="str">
        <x:v>已冻结</x:v>
      </x:c>
    </x:row>
    <x:row r="16">
      <x:c r="A16" s="288" t="str">
        <x:v>AGENTS.md</x:v>
      </x:c>
      <x:c r="B16" s="289" t="str">
        <x:v>Repo root</x:v>
      </x:c>
      <x:c r="C16" s="289" t="str">
        <x:v>可贴入 Project instructions 或 Codex prompt</x:v>
      </x:c>
      <x:c r="D16" s="289" t="str">
        <x:v>Codex 行为规则</x:v>
      </x:c>
      <x:c r="E16" s="289" t="str">
        <x:v>低频</x:v>
      </x:c>
      <x:c r="F16" s="289" t="str">
        <x:v>Codex 越界修改</x:v>
      </x:c>
      <x:c r="G16" s="289" t="str">
        <x:v>仓库维护；修改后在总控 conversation 说明</x:v>
      </x:c>
      <x:c r="H16" s="290" t="str">
        <x:v>已起草中文版</x:v>
      </x:c>
    </x:row>
    <x:row r="17">
      <x:c r="A17" s="288" t="str">
        <x:v>Chapter .tex files</x:v>
      </x:c>
      <x:c r="B17" s="289" t="str">
        <x:v>Repo latex/</x:v>
      </x:c>
      <x:c r="C17" s="289" t="str">
        <x:v>按需上传/粘贴片段供审查</x:v>
      </x:c>
      <x:c r="D17" s="289" t="str">
        <x:v>正式修改对象</x:v>
      </x:c>
      <x:c r="E17" s="289" t="str">
        <x:v>高</x:v>
      </x:c>
      <x:c r="F17" s="289" t="str">
        <x:v>ChatGPT 读取旧版本</x:v>
      </x:c>
      <x:c r="G17" s="289" t="str">
        <x:v>每日执行 conversation 只上传当天相关文件或 Codex diff</x:v>
      </x:c>
      <x:c r="H17" s="290" t="str">
        <x:v>不建议全量频繁上传</x:v>
      </x:c>
    </x:row>
    <x:row r="18">
      <x:c r="A18" s="288" t="str">
        <x:v>Paper1/2/3.tex</x:v>
      </x:c>
      <x:c r="B18" s="289" t="str">
        <x:v>Repo papers/</x:v>
      </x:c>
      <x:c r="C18" s="289" t="str">
        <x:v>只读来源</x:v>
      </x:c>
      <x:c r="D18" s="289" t="str">
        <x:v>只读来源</x:v>
      </x:c>
      <x:c r="E18" s="289" t="str">
        <x:v>低频</x:v>
      </x:c>
      <x:c r="F18" s="289" t="str">
        <x:v>误改原论文</x:v>
      </x:c>
      <x:c r="G18" s="289" t="str">
        <x:v>项目初始上传一次；Codex AGENTS 明确禁止修改</x:v>
      </x:c>
      <x:c r="H18" s="290" t="str">
        <x:v>不作为 tracker 源</x:v>
      </x:c>
    </x:row>
    <x:row r="19">
      <x:c r="A19" s="288" t="str">
        <x:v>refs.bib / Zotero 输出</x:v>
      </x:c>
      <x:c r="B19" s="289" t="str">
        <x:v>Repo latex/ + Zotero</x:v>
      </x:c>
      <x:c r="C19" s="289" t="str">
        <x:v>必要时检查 citation key</x:v>
      </x:c>
      <x:c r="D19" s="289" t="str">
        <x:v>编译与 citation 检查</x:v>
      </x:c>
      <x:c r="E19" s="289" t="str">
        <x:v>中</x:v>
      </x:c>
      <x:c r="F19" s="289" t="str">
        <x:v>undefined citation</x:v>
      </x:c>
      <x:c r="G19" s="289" t="str">
        <x:v>Codex 编译报告 + PDF-first 文献核查记录</x:v>
      </x:c>
      <x:c r="H19" s="290" t="str">
        <x:v>不要只信 metadata</x:v>
      </x:c>
    </x:row>
    <x:row r="20">
      <x:c r="A20" s="288" t="str">
        <x:v>Figures/</x:v>
      </x:c>
      <x:c r="B20" s="289" t="str">
        <x:v>Repo Figures/</x:v>
      </x:c>
      <x:c r="C20" s="289" t="str">
        <x:v>仅看缺图清单或关键图</x:v>
      </x:c>
      <x:c r="D20" s="289" t="str">
        <x:v>恢复/检查 missing figure</x:v>
      </x:c>
      <x:c r="E20" s="289" t="str">
        <x:v>高</x:v>
      </x:c>
      <x:c r="F20" s="289" t="str">
        <x:v>placeholder 未清除</x:v>
      </x:c>
      <x:c r="G20" s="289" t="str">
        <x:v>Codex 扫描 missing figures；tracker 记录 x/13</x:v>
      </x:c>
      <x:c r="H20" s="290" t="str">
        <x:v>图片不必全部上传 GPT</x:v>
      </x:c>
    </x:row>
    <x:row r="21">
      <x:c r="A21" s="288" t="str">
        <x:v>compile log</x:v>
      </x:c>
      <x:c r="B21" s="289" t="str">
        <x:v>Repo build output</x:v>
      </x:c>
      <x:c r="C21" s="289" t="str">
        <x:v>用于诊断</x:v>
      </x:c>
      <x:c r="D21" s="289" t="str">
        <x:v>生成并摘要</x:v>
      </x:c>
      <x:c r="E21" s="289" t="str">
        <x:v>高</x:v>
      </x:c>
      <x:c r="F21" s="289" t="str">
        <x:v>误判 build 状态</x:v>
      </x:c>
      <x:c r="G21" s="289" t="str">
        <x:v>Codex 每次修改后贴摘要，不必上传完整 log</x:v>
      </x:c>
      <x:c r="H21" s="290" t="str">
        <x:v>只保留 error/citation/missing figure</x:v>
      </x:c>
    </x:row>
    <x:row r="22">
      <x:c r="A22" s="288" t="str">
        <x:v>Codex reports</x:v>
      </x:c>
      <x:c r="B22" s="289" t="str">
        <x:v>tracking/codex_reports/</x:v>
      </x:c>
      <x:c r="C22" s="289" t="str">
        <x:v>每日执行 conversation 的输入</x:v>
      </x:c>
      <x:c r="D22" s="289" t="str">
        <x:v>每次任务生成报告</x:v>
      </x:c>
      <x:c r="E22" s="289" t="str">
        <x:v>高</x:v>
      </x:c>
      <x:c r="F22" s="289" t="str">
        <x:v>无法验收修改</x:v>
      </x:c>
      <x:c r="G22" s="289" t="str">
        <x:v>按工作块保存 md；日终汇总到 daily_log</x:v>
      </x:c>
      <x:c r="H22" s="290" t="str">
        <x:v>建议命名 2026-06-24_W1.md</x:v>
      </x:c>
    </x:row>
    <x:row r="23">
      <x:c r="A23" s="288" t="str">
        <x:v>main.pdf</x:v>
      </x:c>
      <x:c r="B23" s="289" t="str">
        <x:v>Repo build output</x:v>
      </x:c>
      <x:c r="C23" s="289" t="str">
        <x:v>最终审阅对象</x:v>
      </x:c>
      <x:c r="D23" s="289" t="str">
        <x:v>编译产物</x:v>
      </x:c>
      <x:c r="E23" s="289" t="str">
        <x:v>中</x:v>
      </x:c>
      <x:c r="F23" s="289" t="str">
        <x:v>视觉问题未发现</x:v>
      </x:c>
      <x:c r="G23" s="289" t="str">
        <x:v>关键节点上传 PDF；平时只用日志和截图</x:v>
      </x:c>
      <x:c r="H23" s="290" t="str">
        <x:v>内容冻结前后必须检查</x:v>
      </x:c>
    </x:row>
    <x:row r="24">
      <x:c r="A24" s="291" t="str">
        <x:v>ChatGPT Project files</x:v>
      </x:c>
      <x:c r="B24" s="292" t="str">
        <x:v>ChatGPT Project source</x:v>
      </x:c>
      <x:c r="C24" s="292" t="str">
        <x:v>上下文快照</x:v>
      </x:c>
      <x:c r="D24" s="292" t="str">
        <x:v>无</x:v>
      </x:c>
      <x:c r="E24" s="292" t="str">
        <x:v>手动/连接器</x:v>
      </x:c>
      <x:c r="F24" s="292" t="str">
        <x:v>可能不是最新版</x:v>
      </x:c>
      <x:c r="G24" s="292" t="str">
        <x:v>只存冻结文件与阶段性快照；最新状态以 repo 为准</x:v>
      </x:c>
      <x:c r="H24" s="293" t="str">
        <x:v>不要把 Project 文件当 repo 替代品</x:v>
      </x:c>
    </x:row>
    <x:row r="25">
      <x:c r="A25" s="14"/>
      <x:c r="B25" s="14"/>
      <x:c r="C25" s="14"/>
      <x:c r="D25" s="14"/>
      <x:c r="E25" s="14"/>
      <x:c r="F25" s="14"/>
      <x:c r="G25" s="14"/>
      <x:c r="H25" s="14"/>
    </x:row>
    <x:row r="26">
      <x:c r="A26" s="14"/>
      <x:c r="B26" s="14"/>
      <x:c r="C26" s="14"/>
      <x:c r="D26" s="14"/>
      <x:c r="E26" s="14"/>
      <x:c r="F26" s="14"/>
      <x:c r="G26" s="14"/>
      <x:c r="H26" s="14"/>
    </x:row>
    <x:row r="27">
      <x:c r="A27" s="305" t="str">
        <x:v>推荐执行协议</x:v>
      </x:c>
      <x:c r="B27" s="305"/>
      <x:c r="C27" s="305"/>
      <x:c r="D27" s="305"/>
      <x:c r="E27" s="305"/>
      <x:c r="F27" s="305"/>
      <x:c r="G27" s="305"/>
      <x:c r="H27" s="305"/>
    </x:row>
    <x:row r="28">
      <x:c r="A28" s="309" t="str">
        <x:v>场景</x:v>
      </x:c>
      <x:c r="B28" s="310" t="str">
        <x:v>操作</x:v>
      </x:c>
      <x:c r="C28" s="310" t="str">
        <x:v>ChatGPT 需要什么</x:v>
      </x:c>
      <x:c r="D28" s="310" t="str">
        <x:v>Codex 需要什么</x:v>
      </x:c>
      <x:c r="E28" s="311" t="str">
        <x:v>完成标准</x:v>
      </x:c>
      <x:c r="F28" s="14"/>
      <x:c r="G28" s="14"/>
      <x:c r="H28" s="14"/>
    </x:row>
    <x:row r="29">
      <x:c r="A29" s="288" t="str">
        <x:v>每天开始</x:v>
      </x:c>
      <x:c r="B29" s="289" t="str">
        <x:v>总控 conversation 查看 tracker_state 摘要，确认当天 P0</x:v>
      </x:c>
      <x:c r="C29" s="289" t="str">
        <x:v>昨日 daily_log 摘要 + 当前 tracker 摘要</x:v>
      </x:c>
      <x:c r="D29" s="289" t="str">
        <x:v>本地最新 repo</x:v>
      </x:c>
      <x:c r="E29" s="290" t="str">
        <x:v>当天第一工作块明确</x:v>
      </x:c>
      <x:c r="F29" s="14"/>
      <x:c r="G29" s="14"/>
      <x:c r="H29" s="14"/>
    </x:row>
    <x:row r="30">
      <x:c r="A30" s="288" t="str">
        <x:v>工作块结束</x:v>
      </x:c>
      <x:c r="B30" s="289" t="str">
        <x:v>执行 conversation 生成汇报，总控判断状态</x:v>
      </x:c>
      <x:c r="C30" s="289" t="str">
        <x:v>工作块汇报文本</x:v>
      </x:c>
      <x:c r="D30" s="289" t="str">
        <x:v>machine-readable update block</x:v>
      </x:c>
      <x:c r="E30" s="290" t="str">
        <x:v>tracker_state 更新；必要时生成 xlsx</x:v>
      </x:c>
      <x:c r="F30" s="14"/>
      <x:c r="G30" s="14"/>
      <x:c r="H30" s="14"/>
    </x:row>
    <x:row r="31">
      <x:c r="A31" s="288" t="str">
        <x:v>Codex 修改后</x:v>
      </x:c>
      <x:c r="B31" s="289" t="str">
        <x:v>先验收报告，不全文重写</x:v>
      </x:c>
      <x:c r="C31" s="289" t="str">
        <x:v>files changed / build / citations / word count / diff 摘要</x:v>
      </x:c>
      <x:c r="D31" s="289" t="str">
        <x:v>编译与 grep 结果</x:v>
      </x:c>
      <x:c r="E31" s="290" t="str">
        <x:v>通过/小修/返工结论明确</x:v>
      </x:c>
      <x:c r="F31" s="14"/>
      <x:c r="G31" s="14"/>
      <x:c r="H31" s="14"/>
    </x:row>
    <x:row r="32">
      <x:c r="A32" s="288" t="str">
        <x:v>需要 ChatGPT 阅读文件</x:v>
      </x:c>
      <x:c r="B32" s="289" t="str">
        <x:v>只上传当天必要文件或贴相关片段</x:v>
      </x:c>
      <x:c r="C32" s="289" t="str">
        <x:v>相关 tex/diff/report</x:v>
      </x:c>
      <x:c r="D32" s="289" t="str">
        <x:v>无</x:v>
      </x:c>
      <x:c r="E32" s="290" t="str">
        <x:v>避免 GPT 读旧全量文件</x:v>
      </x:c>
      <x:c r="F32" s="14"/>
      <x:c r="G32" s="14"/>
      <x:c r="H32" s="14"/>
    </x:row>
    <x:row r="33">
      <x:c r="A33" s="291" t="str">
        <x:v>内容冻结后</x:v>
      </x:c>
      <x:c r="B33" s="292" t="str">
        <x:v>只修 P0</x:v>
      </x:c>
      <x:c r="C33" s="292" t="str">
        <x:v>问题清单和编译摘要</x:v>
      </x:c>
      <x:c r="D33" s="292" t="str">
        <x:v>最小 patch + clean build</x:v>
      </x:c>
      <x:c r="E33" s="293" t="str">
        <x:v>无 TODO/placeholder/undefined 引用</x:v>
      </x:c>
      <x:c r="F33" s="14"/>
      <x:c r="G33" s="14"/>
      <x:c r="H33" s="14"/>
    </x:row>
    <x:row r="34">
      <x:c r="A34" s="14"/>
      <x:c r="B34" s="14"/>
      <x:c r="C34" s="14"/>
      <x:c r="D34" s="14"/>
      <x:c r="E34" s="14"/>
      <x:c r="F34" s="14"/>
      <x:c r="G34" s="14"/>
      <x:c r="H34" s="14"/>
    </x:row>
    <x:row r="35">
      <x:c r="A35" s="14"/>
      <x:c r="B35" s="14"/>
      <x:c r="C35" s="14"/>
      <x:c r="D35" s="14"/>
      <x:c r="E35" s="14"/>
      <x:c r="F35" s="14"/>
      <x:c r="G35" s="14"/>
      <x:c r="H35" s="14"/>
    </x:row>
    <x:row r="36">
      <x:c r="A36" s="305" t="str">
        <x:v>建议目录结构</x:v>
      </x:c>
      <x:c r="B36" s="305"/>
      <x:c r="C36" s="305"/>
      <x:c r="D36" s="305"/>
      <x:c r="E36" s="305"/>
      <x:c r="F36" s="305"/>
      <x:c r="G36" s="305"/>
      <x:c r="H36" s="305"/>
    </x:row>
    <x:row r="37">
      <x:c r="A37" s="306" t="str">
        <x:v>tracking/tracker_state.yml</x:v>
      </x:c>
      <x:c r="B37" s="274" t="str">
        <x:v>当前任务状态，唯一进度事实来源</x:v>
      </x:c>
      <x:c r="C37" s="14"/>
      <x:c r="D37" s="14"/>
      <x:c r="E37" s="14"/>
      <x:c r="F37" s="14"/>
      <x:c r="G37" s="14"/>
      <x:c r="H37" s="14"/>
    </x:row>
    <x:row r="38">
      <x:c r="A38" s="307" t="str">
        <x:v>tracking/daily_log.md</x:v>
      </x:c>
      <x:c r="B38" s="277" t="str">
        <x:v>每日汇报历史</x:v>
      </x:c>
      <x:c r="C38" s="14"/>
      <x:c r="D38" s="14"/>
      <x:c r="E38" s="14"/>
      <x:c r="F38" s="14"/>
      <x:c r="G38" s="14"/>
      <x:c r="H38" s="14"/>
    </x:row>
    <x:row r="39">
      <x:c r="A39" s="307" t="str">
        <x:v>tracking/issue_register.yml</x:v>
      </x:c>
      <x:c r="B39" s="277" t="str">
        <x:v>P0/P1/P2 风险清单</x:v>
      </x:c>
      <x:c r="C39" s="14"/>
      <x:c r="D39" s="14"/>
      <x:c r="E39" s="14"/>
      <x:c r="F39" s="14"/>
      <x:c r="G39" s="14"/>
      <x:c r="H39" s="14"/>
    </x:row>
    <x:row r="40">
      <x:c r="A40" s="307" t="str">
        <x:v>tracking/codex_reports/*.md</x:v>
      </x:c>
      <x:c r="B40" s="277" t="str">
        <x:v>Codex 每个工作块报告</x:v>
      </x:c>
      <x:c r="C40" s="14"/>
      <x:c r="D40" s="14"/>
      <x:c r="E40" s="14"/>
      <x:c r="F40" s="14"/>
      <x:c r="G40" s="14"/>
      <x:c r="H40" s="14"/>
    </x:row>
    <x:row r="41">
      <x:c r="A41" s="307" t="str">
        <x:v>tracking/tracker.xlsx</x:v>
      </x:c>
      <x:c r="B41" s="277" t="str">
        <x:v>自动生成的 Excel 看板</x:v>
      </x:c>
      <x:c r="C41" s="14"/>
      <x:c r="D41" s="14"/>
      <x:c r="E41" s="14"/>
      <x:c r="F41" s="14"/>
      <x:c r="G41" s="14"/>
      <x:c r="H41" s="14"/>
    </x:row>
    <x:row r="42">
      <x:c r="A42" s="307" t="str">
        <x:v>scripts/update_tracker.py</x:v>
      </x:c>
      <x:c r="B42" s="277" t="str">
        <x:v>根据 YAML/Markdown 生成 Excel</x:v>
      </x:c>
      <x:c r="C42" s="14"/>
      <x:c r="D42" s="14"/>
      <x:c r="E42" s="14"/>
      <x:c r="F42" s="14"/>
      <x:c r="G42" s="14"/>
      <x:c r="H42" s="14"/>
    </x:row>
    <x:row r="43">
      <x:c r="A43" s="307" t="str">
        <x:v>scripts/thesis_health_check.py</x:v>
      </x:c>
      <x:c r="B43" s="277" t="str">
        <x:v>检查 TODO、placeholder、missing figures、undefined citation/reference、词数等</x:v>
      </x:c>
      <x:c r="C43" s="14"/>
      <x:c r="D43" s="14"/>
      <x:c r="E43" s="14"/>
      <x:c r="F43" s="14"/>
      <x:c r="G43" s="14"/>
      <x:c r="H43" s="14"/>
    </x:row>
    <x:row r="44">
      <x:c r="A44" s="308" t="str">
        <x:v>AGENTS.md</x:v>
      </x:c>
      <x:c r="B44" s="280" t="str">
        <x:v>Codex 仓库级行为规则</x:v>
      </x:c>
      <x:c r="C44" s="14"/>
      <x:c r="D44" s="14"/>
      <x:c r="E44" s="14"/>
      <x:c r="F44" s="14"/>
      <x:c r="G44" s="14"/>
      <x:c r="H44" s="14"/>
    </x:row>
    <x:row r="45">
      <x:c r="A45" s="14"/>
      <x:c r="B45" s="14"/>
      <x:c r="C45" s="14"/>
      <x:c r="D45" s="14"/>
      <x:c r="E45" s="14"/>
      <x:c r="F45" s="14"/>
      <x:c r="G45" s="14"/>
      <x:c r="H45" s="14"/>
    </x:row>
    <x:row r="46">
      <x:c r="A46" s="14"/>
      <x:c r="B46" s="14"/>
      <x:c r="C46" s="14"/>
      <x:c r="D46" s="14"/>
      <x:c r="E46" s="14"/>
      <x:c r="F46" s="14"/>
      <x:c r="G46" s="14"/>
      <x:c r="H46" s="14"/>
    </x:row>
    <x:row r="47">
      <x:c r="A47" s="305" t="str">
        <x:v>GPT 文件同步注意事项</x:v>
      </x:c>
      <x:c r="B47" s="305"/>
      <x:c r="C47" s="305"/>
      <x:c r="D47" s="305"/>
      <x:c r="E47" s="305"/>
      <x:c r="F47" s="305"/>
      <x:c r="G47" s="305"/>
      <x:c r="H47" s="305"/>
    </x:row>
    <x:row r="48">
      <x:c r="A48" s="306" t="str">
        <x:v>原则</x:v>
      </x:c>
      <x:c r="B48" s="274" t="str">
        <x:v>ChatGPT Project 中的上传文件更像“参考快照”，不是本地 repo 的自动镜像。最新状态仍以 repo/tracking 文件为准。</x:v>
      </x:c>
      <x:c r="C48" s="14"/>
      <x:c r="D48" s="14"/>
      <x:c r="E48" s="14"/>
      <x:c r="F48" s="14"/>
      <x:c r="G48" s="14"/>
      <x:c r="H48" s="14"/>
    </x:row>
    <x:row r="49">
      <x:c r="A49" s="307" t="str">
        <x:v>Google Drive/连接器</x:v>
      </x:c>
      <x:c r="B49" s="277" t="str">
        <x:v>可减少手动上传，但不等于可靠的预同步。关键 P0 决策仍应粘贴最新摘要或上传当前文件。</x:v>
      </x:c>
      <x:c r="C49" s="14"/>
      <x:c r="D49" s="14"/>
      <x:c r="E49" s="14"/>
      <x:c r="F49" s="14"/>
      <x:c r="G49" s="14"/>
      <x:c r="H49" s="14"/>
    </x:row>
    <x:row r="50">
      <x:c r="A50" s="307" t="str">
        <x:v>最小同步包</x:v>
      </x:c>
      <x:c r="B50" s="277" t="str">
        <x:v>总控只需 tracker_state 摘要、daily_log、issue_register；每日执行只需当天 tex/diff/Codex report。</x:v>
      </x:c>
      <x:c r="C50" s="14"/>
      <x:c r="D50" s="14"/>
      <x:c r="E50" s="14"/>
      <x:c r="F50" s="14"/>
      <x:c r="G50" s="14"/>
      <x:c r="H50" s="14"/>
    </x:row>
    <x:row r="51">
      <x:c r="A51" s="308" t="str">
        <x:v>命名规则</x:v>
      </x:c>
      <x:c r="B51" s="280" t="str">
        <x:v>所有人工上传文件带日期和用途，例如 tracker_2026-06-24_am.xlsx、codex_report_2026-06-24_W1.md。</x:v>
      </x:c>
      <x:c r="C51" s="14"/>
      <x:c r="D51" s="14"/>
      <x:c r="E51" s="14"/>
      <x:c r="F51" s="14"/>
      <x:c r="G51" s="14"/>
      <x:c r="H51" s="14"/>
    </x:row>
    <x:row r="52">
      <x:c r="A52" s="14"/>
      <x:c r="B52" s="14"/>
      <x:c r="C52" s="14"/>
      <x:c r="D52" s="14"/>
      <x:c r="E52" s="14"/>
      <x:c r="F52" s="14"/>
      <x:c r="G52" s="14"/>
      <x:c r="H52" s="14"/>
    </x:row>
    <x:row r="53">
      <x:c r="A53" s="14"/>
      <x:c r="B53" s="14"/>
      <x:c r="C53" s="14"/>
      <x:c r="D53" s="14"/>
      <x:c r="E53" s="14"/>
      <x:c r="F53" s="14"/>
      <x:c r="G53" s="14"/>
      <x:c r="H53" s="14"/>
    </x:row>
    <x:row r="54">
      <x:c r="A54" s="14"/>
      <x:c r="B54" s="14"/>
      <x:c r="C54" s="14"/>
      <x:c r="D54" s="14"/>
      <x:c r="E54" s="14"/>
      <x:c r="F54" s="14"/>
      <x:c r="G54" s="14"/>
      <x:c r="H54" s="14"/>
    </x:row>
    <x:row r="55">
      <x:c r="A55" s="14"/>
      <x:c r="B55" s="14"/>
      <x:c r="C55" s="14"/>
      <x:c r="D55" s="14"/>
      <x:c r="E55" s="14"/>
      <x:c r="F55" s="14"/>
      <x:c r="G55" s="14"/>
      <x:c r="H55" s="14"/>
    </x:row>
    <x:row r="56">
      <x:c r="A56" s="14"/>
      <x:c r="B56" s="14"/>
      <x:c r="C56" s="14"/>
      <x:c r="D56" s="14"/>
      <x:c r="E56" s="14"/>
      <x:c r="F56" s="14"/>
      <x:c r="G56" s="14"/>
      <x:c r="H56" s="14"/>
    </x:row>
    <x:row r="57">
      <x:c r="A57" s="14"/>
      <x:c r="B57" s="14"/>
      <x:c r="C57" s="14"/>
      <x:c r="D57" s="14"/>
      <x:c r="E57" s="14"/>
      <x:c r="F57" s="14"/>
      <x:c r="G57" s="14"/>
      <x:c r="H57" s="14"/>
    </x:row>
    <x:row r="58">
      <x:c r="A58" s="14"/>
      <x:c r="B58" s="14"/>
      <x:c r="C58" s="14"/>
      <x:c r="D58" s="14"/>
      <x:c r="E58" s="14"/>
      <x:c r="F58" s="14"/>
      <x:c r="G58" s="14"/>
      <x:c r="H58" s="14"/>
    </x:row>
    <x:row r="59">
      <x:c r="A59" s="14"/>
      <x:c r="B59" s="14"/>
      <x:c r="C59" s="14"/>
      <x:c r="D59" s="14"/>
      <x:c r="E59" s="14"/>
      <x:c r="F59" s="14"/>
      <x:c r="G59" s="14"/>
      <x:c r="H59" s="14"/>
    </x:row>
    <x:row r="60">
      <x:c r="A60" s="14"/>
      <x:c r="B60" s="14"/>
      <x:c r="C60" s="14"/>
      <x:c r="D60" s="14"/>
      <x:c r="E60" s="14"/>
      <x:c r="F60" s="14"/>
      <x:c r="G60" s="14"/>
      <x:c r="H60" s="14"/>
    </x:row>
  </x:sheetData>
  <x:mergeCells>
    <x:mergeCell ref="A1:H2"/>
    <x:mergeCell ref="A4:H4"/>
    <x:mergeCell ref="B5:H5"/>
    <x:mergeCell ref="B6:H6"/>
    <x:mergeCell ref="B7:H7"/>
    <x:mergeCell ref="A27:H27"/>
    <x:mergeCell ref="A36:H36"/>
    <x:mergeCell ref="A47:H4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28" hidden="0" customWidth="1"/>
    <x:col min="5" max="5" width="42" hidden="0" customWidth="1"/>
    <x:col min="6" max="6" width="12" hidden="0" customWidth="1"/>
    <x:col min="7" max="7" width="34" hidden="0" customWidth="1"/>
    <x:col min="8" max="8" width="26" hidden="0" customWidth="1"/>
  </x:cols>
  <x:sheetData>
    <x:row r="1">
      <x:c r="A1" s="416" t="str">
        <x:v>2026-06-24 15:00 重排计划｜用于 Codex 初始化 tracker</x:v>
      </x:c>
      <x:c r="B1" s="416"/>
      <x:c r="C1" s="416"/>
      <x:c r="D1" s="416"/>
      <x:c r="E1" s="416"/>
      <x:c r="F1" s="416"/>
      <x:c r="G1" s="416"/>
      <x:c r="H1" s="416"/>
    </x:row>
    <x:row r="2">
      <x:c r="A2" s="416"/>
      <x:c r="B2" s="416"/>
      <x:c r="C2" s="416"/>
      <x:c r="D2" s="416"/>
      <x:c r="E2" s="416"/>
      <x:c r="F2" s="416"/>
      <x:c r="G2" s="416"/>
      <x:c r="H2" s="416"/>
    </x:row>
    <x:row r="4">
      <x:c r="A4" s="417" t="str">
        <x:v>当前状态判断</x:v>
      </x:c>
      <x:c r="B4" s="417"/>
      <x:c r="C4" s="417"/>
      <x:c r="D4" s="417"/>
      <x:c r="E4" s="417"/>
      <x:c r="F4" s="417"/>
      <x:c r="G4" s="417"/>
      <x:c r="H4" s="417"/>
    </x:row>
    <x:row r="5">
      <x:c r="A5" s="429" t="str">
        <x:v>当前时间背景</x:v>
      </x:c>
      <x:c r="B5" s="430" t="str">
        <x:v>6/24 15:00 才正式回到论文；上午用于工作流和同步机制设计，正文写作计划进一步压缩。</x:v>
      </x:c>
      <x:c r="C5" s="430" t="str"/>
      <x:c r="D5" s="430" t="str"/>
      <x:c r="E5" s="430" t="str"/>
      <x:c r="F5" s="430" t="str"/>
      <x:c r="G5" s="430" t="str"/>
      <x:c r="H5" s="431" t="str"/>
    </x:row>
    <x:row r="6">
      <x:c r="A6" s="432" t="str">
        <x:v>Chapter 1</x:v>
      </x:c>
      <x:c r="B6" s="424" t="str">
        <x:v>Codex 已写完/已委托写作，但尚未 review；build status、word count、undefined citations/references 待确认。</x:v>
      </x:c>
      <x:c r="C6" s="424" t="str"/>
      <x:c r="D6" s="424" t="str"/>
      <x:c r="E6" s="424" t="str"/>
      <x:c r="F6" s="424" t="str"/>
      <x:c r="G6" s="424" t="str"/>
      <x:c r="H6" s="433" t="str"/>
    </x:row>
    <x:row r="7">
      <x:c r="A7" s="432" t="str">
        <x:v>Chapter 2</x:v>
      </x:c>
      <x:c r="B7" s="424" t="str">
        <x:v>尚未正式启动；今晚目标降级为文献矩阵 + 开头 600–1,000 词。</x:v>
      </x:c>
      <x:c r="C7" s="424" t="str"/>
      <x:c r="D7" s="424" t="str"/>
      <x:c r="E7" s="424" t="str"/>
      <x:c r="F7" s="424" t="str"/>
      <x:c r="G7" s="424" t="str"/>
      <x:c r="H7" s="433" t="str"/>
    </x:row>
    <x:row r="8">
      <x:c r="A8" s="434" t="str">
        <x:v>今日成功标准</x:v>
      </x:c>
      <x:c r="B8" s="435" t="str">
        <x:v>Chapter 1 进入可接受初稿或明确返工；Chapter 2 不再空白；tracker/daily_log/issue_register 可用于 Codex 初始化。</x:v>
      </x:c>
      <x:c r="C8" s="435" t="str"/>
      <x:c r="D8" s="435" t="str"/>
      <x:c r="E8" s="435" t="str"/>
      <x:c r="F8" s="435" t="str"/>
      <x:c r="G8" s="435" t="str"/>
      <x:c r="H8" s="436" t="str"/>
    </x:row>
    <x:row r="11">
      <x:c r="A11" s="441" t="str">
        <x:v>编号</x:v>
      </x:c>
      <x:c r="B11" s="442" t="str">
        <x:v>时段</x:v>
      </x:c>
      <x:c r="C11" s="442" t="str">
        <x:v>优先级</x:v>
      </x:c>
      <x:c r="D11" s="442" t="str">
        <x:v>任务</x:v>
      </x:c>
      <x:c r="E11" s="442" t="str">
        <x:v>完成标准</x:v>
      </x:c>
      <x:c r="F11" s="442" t="str">
        <x:v>状态</x:v>
      </x:c>
      <x:c r="G11" s="442" t="str">
        <x:v>Codex/ChatGPT 角色</x:v>
      </x:c>
      <x:c r="H11" s="443" t="str">
        <x:v>备注</x:v>
      </x:c>
    </x:row>
    <x:row r="12">
      <x:c r="A12" s="444" t="str">
        <x:v>W1</x:v>
      </x:c>
      <x:c r="B12" s="289" t="str">
        <x:v>09:45–12:00</x:v>
      </x:c>
      <x:c r="C12" s="289" t="str">
        <x:v>P1</x:v>
      </x:c>
      <x:c r="D12" s="289" t="str">
        <x:v>工作流重构与 tracker 初始化准备</x:v>
      </x:c>
      <x:c r="E12" s="289" t="str">
        <x:v>工作流设计完成；新的 xlsx 可给 Codex 初始化；不继续扩大工作流范围。</x:v>
      </x:c>
      <x:c r="F12" s="289" t="str">
        <x:v>已完成</x:v>
      </x:c>
      <x:c r="G12" s="289" t="str">
        <x:v>Codex 后续根据此 xlsx 初始化 tracking/*.yml 和 tracker.xlsx。</x:v>
      </x:c>
      <x:c r="H12" s="405" t="str">
        <x:v>上午已占用，下午必须回到论文。</x:v>
      </x:c>
    </x:row>
    <x:row r="13">
      <x:c r="A13" s="444" t="str">
        <x:v>W2</x:v>
      </x:c>
      <x:c r="B13" s="289" t="str">
        <x:v>15:00–15:20</x:v>
      </x:c>
      <x:c r="C13" s="289" t="str">
        <x:v>P0</x:v>
      </x:c>
      <x:c r="D13" s="289" t="str">
        <x:v>快速读取 Codex report</x:v>
      </x:c>
      <x:c r="E13" s="289" t="str">
        <x:v>得到 files changed、word count、citation plan、undefined citations/references、build status。</x:v>
      </x:c>
      <x:c r="F13" s="289" t="str">
        <x:v>未开始</x:v>
      </x:c>
      <x:c r="G13" s="289" t="str">
        <x:v>Codex 提供报告；ChatGPT/用户判断是否进入 polish。</x:v>
      </x:c>
      <x:c r="H13" s="405" t="str">
        <x:v>不全文重写。</x:v>
      </x:c>
    </x:row>
    <x:row r="14">
      <x:c r="A14" s="444" t="str">
        <x:v>W3</x:v>
      </x:c>
      <x:c r="B14" s="289" t="str">
        <x:v>15:20–16:30</x:v>
      </x:c>
      <x:c r="C14" s="289" t="str">
        <x:v>P0</x:v>
      </x:c>
      <x:c r="D14" s="289" t="str">
        <x:v>验收 Chapter 1 Codex 输出</x:v>
      </x:c>
      <x:c r="E14" s="289" t="str">
        <x:v>判断 Chapter 1 是否符合 thesis spine 和六节结构，是否有 citation/AI/novelty 问题。</x:v>
      </x:c>
      <x:c r="F14" s="289" t="str">
        <x:v>未开始</x:v>
      </x:c>
      <x:c r="G14" s="289" t="str">
        <x:v>ChatGPT 做逻辑验收；Codex 只提供 diff/report。</x:v>
      </x:c>
      <x:c r="H14" s="405" t="str">
        <x:v>验收优先于润色。</x:v>
      </x:c>
    </x:row>
    <x:row r="15">
      <x:c r="A15" s="444" t="str">
        <x:v>W4</x:v>
      </x:c>
      <x:c r="B15" s="289" t="str">
        <x:v>16:30–17:20</x:v>
      </x:c>
      <x:c r="C15" s="289" t="str">
        <x:v>P0</x:v>
      </x:c>
      <x:c r="D15" s="289" t="str">
        <x:v>Chapter 1 最小 polish 或返工 prompt</x:v>
      </x:c>
      <x:c r="E15" s="289" t="str">
        <x:v>输出可接受则小修；偏离大则生成 Codex 返工 prompt。</x:v>
      </x:c>
      <x:c r="F15" s="289" t="str">
        <x:v>未开始</x:v>
      </x:c>
      <x:c r="G15" s="289" t="str">
        <x:v>Codex 按限定 prompt 修改；ChatGPT 控制范围。</x:v>
      </x:c>
      <x:c r="H15" s="405" t="str">
        <x:v>目标是可接受初稿。</x:v>
      </x:c>
    </x:row>
    <x:row r="16">
      <x:c r="A16" s="444" t="str">
        <x:v>W5</x:v>
      </x:c>
      <x:c r="B16" s="289" t="str">
        <x:v>17:20–17:40</x:v>
      </x:c>
      <x:c r="C16" s="289" t="str">
        <x:v>P0</x:v>
      </x:c>
      <x:c r="D16" s="289" t="str">
        <x:v>编译与状态记录</x:v>
      </x:c>
      <x:c r="E16" s="289" t="str">
        <x:v>记录 build、word count、citations/references、TODO/placeholder。</x:v>
      </x:c>
      <x:c r="F16" s="289" t="str">
        <x:v>未开始</x:v>
      </x:c>
      <x:c r="G16" s="289" t="str">
        <x:v>Codex 编译并更新 tracking 状态。</x:v>
      </x:c>
      <x:c r="H16" s="405" t="str">
        <x:v>17:40 后吃饭/休息/简单活动。</x:v>
      </x:c>
    </x:row>
    <x:row r="17">
      <x:c r="A17" s="444" t="str">
        <x:v>W6</x:v>
      </x:c>
      <x:c r="B17" s="289" t="str">
        <x:v>19:00–20:30</x:v>
      </x:c>
      <x:c r="C17" s="289" t="str">
        <x:v>P0</x:v>
      </x:c>
      <x:c r="D17" s="289" t="str">
        <x:v>Chapter 2 文献矩阵</x:v>
      </x:c>
      <x:c r="E17" s="289" t="str">
        <x:v>形成 Theme / Existing literature / Limitation / Thesis response 表。</x:v>
      </x:c>
      <x:c r="F17" s="289" t="str">
        <x:v>未开始</x:v>
      </x:c>
      <x:c r="G17" s="289" t="str">
        <x:v>ChatGPT 帮结构；Codex 可应用到 Chapter2。</x:v>
      </x:c>
      <x:c r="H17" s="405" t="str">
        <x:v>只求启动，不求完成前半。</x:v>
      </x:c>
    </x:row>
    <x:row r="18">
      <x:c r="A18" s="445" t="str">
        <x:v>W7</x:v>
      </x:c>
      <x:c r="B18" s="407" t="str">
        <x:v>20:45–22:30</x:v>
      </x:c>
      <x:c r="C18" s="407" t="str">
        <x:v>P0</x:v>
      </x:c>
      <x:c r="D18" s="407" t="str">
        <x:v>Chapter 2 开头 + 日终检查</x:v>
      </x:c>
      <x:c r="E18" s="407" t="str">
        <x:v>写 600–1,000 词开头；编译；更新 tracker；生成 06/24 日终汇报。</x:v>
      </x:c>
      <x:c r="F18" s="407" t="str">
        <x:v>未开始</x:v>
      </x:c>
      <x:c r="G18" s="407" t="str">
        <x:v>Codex 更新 tracking；ChatGPT 接收日终汇报。</x:v>
      </x:c>
      <x:c r="H18" s="410" t="str">
        <x:v>不超过 23:15。</x:v>
      </x:c>
    </x:row>
    <x:row r="21">
      <x:c r="A21" s="417" t="str">
        <x:v>给 Codex 初始化 tracker 的说明</x:v>
      </x:c>
      <x:c r="B21" s="417"/>
      <x:c r="C21" s="417"/>
      <x:c r="D21" s="417"/>
      <x:c r="E21" s="417"/>
      <x:c r="F21" s="417"/>
      <x:c r="G21" s="417"/>
      <x:c r="H21" s="417"/>
    </x:row>
    <x:row r="22">
      <x:c r="A22" s="429" t="str">
        <x:v>1</x:v>
      </x:c>
      <x:c r="B22" s="450" t="str">
        <x:v>请把本表作为 2026-06-24 15:00 重排后的最新 tracker 快照，而不是继续使用原 6/24 上午或中午写作计划。</x:v>
      </x:c>
    </x:row>
    <x:row r="23">
      <x:c r="A23" s="432" t="str">
        <x:v>2</x:v>
      </x:c>
      <x:c r="B23" s="451" t="str">
        <x:v>初始化 tracking/tracker_state.yml 时，T2/T3 已完成；T1 延期/待验收；T4 进行中；W1 已完成；W2–W7 按本 15:00 重排计划未开始。</x:v>
      </x:c>
    </x:row>
    <x:row r="24">
      <x:c r="A24" s="432" t="str">
        <x:v>3</x:v>
      </x:c>
      <x:c r="B24" s="451" t="str">
        <x:v>初始化 tracking/daily_log.md 时，记录 6/23 EOD，并为 6/24 添加 note：workflow setup completed; 15:00 thesis work restart; Chapter 1 review pending; Chapter 2 delayed.</x:v>
      </x:c>
    </x:row>
    <x:row r="25">
      <x:c r="A25" s="432" t="str">
        <x:v>4</x:v>
      </x:c>
      <x:c r="B25" s="451" t="str">
        <x:v>初始化 tracking/issue_register.yml 时，包含 ISS-017：6/24 schedule compression / 15:00 restart / Chapter 1 review pending / Chapter 2 delayed start.</x:v>
      </x:c>
    </x:row>
    <x:row r="26">
      <x:c r="A26" s="434" t="str">
        <x:v>5</x:v>
      </x:c>
      <x:c r="B26" s="452" t="str">
        <x:v>不要修改论文正文文件；本次只做 tracker 初始化和本地工作流状态同步。</x:v>
      </x:c>
    </x:row>
  </x:sheetData>
  <x:mergeCells>
    <x:mergeCell ref="A1:H2"/>
    <x:mergeCell ref="A4:H4"/>
    <x:mergeCell ref="B5:H5"/>
    <x:mergeCell ref="B6:H6"/>
    <x:mergeCell ref="B7:H7"/>
    <x:mergeCell ref="B8:H8"/>
    <x:mergeCell ref="A21:H21"/>
  </x:mergeCells>
  <x:conditionalFormatting sqref="C12:C18">
    <x:cfRule type="expression" dxfId="16" priority="1">
      <x:formula>C12="P0"</x:formula>
    </x:cfRule>
  </x:conditionalFormatting>
  <x:conditionalFormatting sqref="F12:F18">
    <x:cfRule type="expression" dxfId="17" priority="2">
      <x:formula>F12="已完成"</x:formula>
    </x:cfRule>
  </x:conditionalFormatting>
  <x:pageMargins left="0.7" right="0.7" top="0.75" bottom="0.75" header="0.3" footer="0.3"/>
</x:worksheet>
</file>